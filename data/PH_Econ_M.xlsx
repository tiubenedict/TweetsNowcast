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edict-t/Documents/tweets_parallel/TweetsNowcast/data/"/>
    </mc:Choice>
  </mc:AlternateContent>
  <xr:revisionPtr revIDLastSave="0" documentId="13_ncr:1_{511D80E6-AE21-594B-96EF-173158D2A362}" xr6:coauthVersionLast="47" xr6:coauthVersionMax="47" xr10:uidLastSave="{00000000-0000-0000-0000-000000000000}"/>
  <bookViews>
    <workbookView xWindow="0" yWindow="500" windowWidth="14400" windowHeight="17500" xr2:uid="{F1382FAE-DFD6-C448-A3FC-EEDA7B71195F}"/>
  </bookViews>
  <sheets>
    <sheet name="data" sheetId="1" r:id="rId1"/>
    <sheet name="releas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53" i="1" l="1"/>
  <c r="AB253" i="1"/>
  <c r="AC252" i="1"/>
  <c r="AB252" i="1"/>
  <c r="AC251" i="1"/>
  <c r="AB251" i="1"/>
  <c r="AC250" i="1"/>
  <c r="AB250" i="1"/>
  <c r="AC249" i="1"/>
  <c r="AB249" i="1"/>
  <c r="AC248" i="1"/>
  <c r="AB248" i="1"/>
  <c r="AC247" i="1"/>
  <c r="AB247" i="1"/>
  <c r="AC246" i="1"/>
  <c r="AB246" i="1"/>
  <c r="AC245" i="1"/>
  <c r="AB245" i="1"/>
  <c r="AC244" i="1"/>
  <c r="AB244" i="1"/>
  <c r="AC243" i="1"/>
  <c r="AB243" i="1"/>
  <c r="AC242" i="1"/>
  <c r="AB242" i="1"/>
  <c r="AC241" i="1"/>
  <c r="AB241" i="1"/>
  <c r="AC240" i="1"/>
  <c r="AB240" i="1"/>
  <c r="AC239" i="1"/>
  <c r="AB239" i="1"/>
  <c r="AC238" i="1"/>
  <c r="AB238" i="1"/>
  <c r="AC237" i="1"/>
  <c r="AB237" i="1"/>
  <c r="AC236" i="1"/>
  <c r="AB236" i="1"/>
  <c r="AC235" i="1"/>
  <c r="AB235" i="1"/>
  <c r="AC234" i="1"/>
  <c r="AB234" i="1"/>
  <c r="AC233" i="1"/>
  <c r="AB233" i="1"/>
  <c r="AC232" i="1"/>
  <c r="AB232" i="1"/>
  <c r="AC231" i="1"/>
  <c r="AB231" i="1"/>
  <c r="AC230" i="1"/>
  <c r="AB230" i="1"/>
  <c r="AC229" i="1"/>
  <c r="AB229" i="1"/>
  <c r="AC228" i="1"/>
  <c r="AB228" i="1"/>
  <c r="AC227" i="1"/>
  <c r="AB227" i="1"/>
  <c r="AC226" i="1"/>
  <c r="AB226" i="1"/>
  <c r="AC225" i="1"/>
  <c r="AB225" i="1"/>
  <c r="AC224" i="1"/>
  <c r="AB224" i="1"/>
  <c r="AC223" i="1"/>
  <c r="AB223" i="1"/>
  <c r="AC222" i="1"/>
  <c r="AB222" i="1"/>
  <c r="AC221" i="1"/>
  <c r="AB221" i="1"/>
  <c r="AC220" i="1"/>
  <c r="AB220" i="1"/>
  <c r="AC219" i="1"/>
  <c r="AB219" i="1"/>
  <c r="AC218" i="1"/>
  <c r="AB218" i="1"/>
  <c r="AC217" i="1"/>
  <c r="AB217" i="1"/>
  <c r="AC216" i="1"/>
  <c r="AB216" i="1"/>
  <c r="AC215" i="1"/>
  <c r="AB215" i="1"/>
  <c r="AC214" i="1"/>
  <c r="AB214" i="1"/>
  <c r="AC213" i="1"/>
  <c r="AB213" i="1"/>
  <c r="AC212" i="1"/>
  <c r="AB212" i="1"/>
  <c r="AC211" i="1"/>
  <c r="AB211" i="1"/>
  <c r="AC210" i="1"/>
  <c r="AB210" i="1"/>
  <c r="AC209" i="1"/>
  <c r="AB209" i="1"/>
  <c r="AC208" i="1"/>
  <c r="AB208" i="1"/>
  <c r="AC207" i="1"/>
  <c r="AB207" i="1"/>
  <c r="AC206" i="1"/>
  <c r="AB206" i="1"/>
  <c r="AC205" i="1"/>
  <c r="AB205" i="1"/>
  <c r="AC204" i="1"/>
  <c r="AB204" i="1"/>
  <c r="AC203" i="1"/>
  <c r="AB203" i="1"/>
  <c r="AC202" i="1"/>
  <c r="AB202" i="1"/>
  <c r="AC201" i="1"/>
  <c r="AB201" i="1"/>
  <c r="AC200" i="1"/>
  <c r="AB200" i="1"/>
  <c r="AC199" i="1"/>
  <c r="AB199" i="1"/>
  <c r="AC198" i="1"/>
  <c r="AB198" i="1"/>
  <c r="AC197" i="1"/>
  <c r="AB197" i="1"/>
  <c r="AC196" i="1"/>
  <c r="AB196" i="1"/>
  <c r="AC195" i="1"/>
  <c r="AB195" i="1"/>
  <c r="AC194" i="1"/>
  <c r="AB194" i="1"/>
  <c r="AC193" i="1"/>
  <c r="AB193" i="1"/>
  <c r="AC192" i="1"/>
  <c r="AB192" i="1"/>
  <c r="AC191" i="1"/>
  <c r="AB191" i="1"/>
  <c r="AC190" i="1"/>
  <c r="AB190" i="1"/>
  <c r="AC189" i="1"/>
  <c r="AB189" i="1"/>
  <c r="AC188" i="1"/>
  <c r="AB188" i="1"/>
  <c r="AC187" i="1"/>
  <c r="AB187" i="1"/>
  <c r="AC186" i="1"/>
  <c r="AB186" i="1"/>
  <c r="AC185" i="1"/>
  <c r="AB185" i="1"/>
  <c r="AC184" i="1"/>
  <c r="AB184" i="1"/>
  <c r="AC183" i="1"/>
  <c r="AB183" i="1"/>
  <c r="AC182" i="1"/>
  <c r="AB182" i="1"/>
  <c r="AC181" i="1"/>
  <c r="AB181" i="1"/>
  <c r="AC180" i="1"/>
  <c r="AB180" i="1"/>
  <c r="AC179" i="1"/>
  <c r="AB179" i="1"/>
  <c r="AC178" i="1"/>
  <c r="AB178" i="1"/>
  <c r="AC177" i="1"/>
  <c r="AB177" i="1"/>
  <c r="AC176" i="1"/>
  <c r="AB176" i="1"/>
  <c r="AC175" i="1"/>
  <c r="AB175" i="1"/>
  <c r="AC174" i="1"/>
  <c r="AB174" i="1"/>
  <c r="AC173" i="1"/>
  <c r="AB173" i="1"/>
  <c r="AC172" i="1"/>
  <c r="AB172" i="1"/>
  <c r="AC171" i="1"/>
  <c r="AB171" i="1"/>
  <c r="AC170" i="1"/>
  <c r="AB170" i="1"/>
  <c r="AC169" i="1"/>
  <c r="AB169" i="1"/>
  <c r="AC168" i="1"/>
  <c r="AB168" i="1"/>
  <c r="AC167" i="1"/>
  <c r="AB167" i="1"/>
  <c r="AC166" i="1"/>
  <c r="AB166" i="1"/>
  <c r="AC165" i="1"/>
  <c r="AB165" i="1"/>
  <c r="AC164" i="1"/>
  <c r="AB164" i="1"/>
  <c r="AC163" i="1"/>
  <c r="AB163" i="1"/>
  <c r="AC162" i="1"/>
  <c r="AB162" i="1"/>
  <c r="AC161" i="1"/>
  <c r="AB161" i="1"/>
  <c r="AC160" i="1"/>
  <c r="AB160" i="1"/>
  <c r="AC159" i="1"/>
  <c r="AB159" i="1"/>
  <c r="AC158" i="1"/>
  <c r="AB158" i="1"/>
  <c r="AC157" i="1"/>
  <c r="AB157" i="1"/>
  <c r="AC156" i="1"/>
  <c r="AB156" i="1"/>
  <c r="AC155" i="1"/>
  <c r="AB155" i="1"/>
  <c r="AC154" i="1"/>
  <c r="AB154" i="1"/>
  <c r="AC153" i="1"/>
  <c r="AB153" i="1"/>
  <c r="AC152" i="1"/>
  <c r="AB152" i="1"/>
  <c r="AC151" i="1"/>
  <c r="AB151" i="1"/>
  <c r="AC150" i="1"/>
  <c r="AB150" i="1"/>
  <c r="AC149" i="1"/>
  <c r="AB149" i="1"/>
  <c r="AC148" i="1"/>
  <c r="AB148" i="1"/>
  <c r="AC147" i="1"/>
  <c r="AB147" i="1"/>
  <c r="AC146" i="1"/>
  <c r="AB146" i="1"/>
  <c r="AC145" i="1"/>
  <c r="AB145" i="1"/>
  <c r="AC144" i="1"/>
  <c r="AB144" i="1"/>
  <c r="AC143" i="1"/>
  <c r="AB143" i="1"/>
  <c r="AC142" i="1"/>
  <c r="AB142" i="1"/>
  <c r="AC141" i="1"/>
  <c r="AB141" i="1"/>
  <c r="AC140" i="1"/>
  <c r="AB140" i="1"/>
  <c r="AC139" i="1"/>
  <c r="AB139" i="1"/>
  <c r="AC138" i="1"/>
  <c r="AB138" i="1"/>
  <c r="AC137" i="1"/>
  <c r="AB137" i="1"/>
  <c r="AC136" i="1"/>
  <c r="AB136" i="1"/>
  <c r="AC135" i="1"/>
  <c r="AB135" i="1"/>
  <c r="AC134" i="1"/>
  <c r="AB134" i="1"/>
  <c r="AC133" i="1"/>
  <c r="AB133" i="1"/>
  <c r="AC132" i="1"/>
  <c r="AB132" i="1"/>
  <c r="AC131" i="1"/>
  <c r="AB131" i="1"/>
  <c r="AC130" i="1"/>
  <c r="AB130" i="1"/>
  <c r="AC129" i="1"/>
  <c r="AB129" i="1"/>
  <c r="AC128" i="1"/>
  <c r="AB128" i="1"/>
  <c r="AC127" i="1"/>
  <c r="AB127" i="1"/>
  <c r="AC126" i="1"/>
  <c r="AB126" i="1"/>
  <c r="AC125" i="1"/>
  <c r="AB125" i="1"/>
  <c r="AC124" i="1"/>
  <c r="AB124" i="1"/>
  <c r="AC123" i="1"/>
  <c r="AB123" i="1"/>
  <c r="AC122" i="1"/>
  <c r="AB122" i="1"/>
  <c r="AC121" i="1"/>
  <c r="AB121" i="1"/>
  <c r="AC120" i="1"/>
  <c r="AB120" i="1"/>
  <c r="AC119" i="1"/>
  <c r="AB119" i="1"/>
  <c r="AC118" i="1"/>
  <c r="AB118" i="1"/>
  <c r="AC117" i="1"/>
  <c r="AB117" i="1"/>
  <c r="AC116" i="1"/>
  <c r="AB116" i="1"/>
  <c r="AC115" i="1"/>
  <c r="AB115" i="1"/>
  <c r="AC114" i="1"/>
  <c r="AB114" i="1"/>
  <c r="AC113" i="1"/>
  <c r="AB113" i="1"/>
  <c r="AC112" i="1"/>
  <c r="AB112" i="1"/>
  <c r="AC111" i="1"/>
  <c r="AB111" i="1"/>
  <c r="AC110" i="1"/>
  <c r="AB110" i="1"/>
  <c r="AC109" i="1"/>
  <c r="AB109" i="1"/>
  <c r="AC108" i="1"/>
  <c r="AB108" i="1"/>
  <c r="AC107" i="1"/>
  <c r="AB107" i="1"/>
  <c r="AC106" i="1"/>
  <c r="AB106" i="1"/>
  <c r="AC105" i="1"/>
  <c r="AB105" i="1"/>
  <c r="AC104" i="1"/>
  <c r="AB104" i="1"/>
  <c r="AC103" i="1"/>
  <c r="AB103" i="1"/>
  <c r="AC102" i="1"/>
  <c r="AB102" i="1"/>
  <c r="AC101" i="1"/>
  <c r="AB101" i="1"/>
  <c r="AC100" i="1"/>
  <c r="AB100" i="1"/>
  <c r="AC99" i="1"/>
  <c r="AB99" i="1"/>
  <c r="AC98" i="1"/>
  <c r="AB98" i="1"/>
  <c r="AC97" i="1"/>
  <c r="AB97" i="1"/>
  <c r="AC96" i="1"/>
  <c r="AB96" i="1"/>
  <c r="AC95" i="1"/>
  <c r="AB95" i="1"/>
  <c r="AC94" i="1"/>
  <c r="AB94" i="1"/>
  <c r="AC93" i="1"/>
  <c r="AB93" i="1"/>
  <c r="AC92" i="1"/>
  <c r="AB92" i="1"/>
  <c r="AC91" i="1"/>
  <c r="AB91" i="1"/>
  <c r="AC90" i="1"/>
  <c r="AB90" i="1"/>
  <c r="AC89" i="1"/>
  <c r="AB89" i="1"/>
  <c r="AC88" i="1"/>
  <c r="AB88" i="1"/>
  <c r="AC87" i="1"/>
  <c r="AB87" i="1"/>
  <c r="AC86" i="1"/>
  <c r="AB86" i="1"/>
  <c r="AC85" i="1"/>
  <c r="AB85" i="1"/>
  <c r="AC84" i="1"/>
  <c r="AB84" i="1"/>
  <c r="AC83" i="1"/>
  <c r="AB83" i="1"/>
  <c r="AC82" i="1"/>
  <c r="AB82" i="1"/>
  <c r="AC81" i="1"/>
  <c r="AB81" i="1"/>
  <c r="AC80" i="1"/>
  <c r="AB80" i="1"/>
  <c r="AC79" i="1"/>
  <c r="AB79" i="1"/>
  <c r="AC78" i="1"/>
  <c r="AB78" i="1"/>
  <c r="AC77" i="1"/>
  <c r="AB77" i="1"/>
  <c r="AC76" i="1"/>
  <c r="AB76" i="1"/>
  <c r="AC75" i="1"/>
  <c r="AB75" i="1"/>
  <c r="AC74" i="1"/>
  <c r="AB74" i="1"/>
  <c r="AC73" i="1"/>
  <c r="AB73" i="1"/>
  <c r="AC72" i="1"/>
  <c r="AB72" i="1"/>
  <c r="AC71" i="1"/>
  <c r="AB71" i="1"/>
  <c r="AC70" i="1"/>
  <c r="AB70" i="1"/>
  <c r="AC69" i="1"/>
  <c r="AB69" i="1"/>
  <c r="AC68" i="1"/>
  <c r="AB68" i="1"/>
  <c r="AC67" i="1"/>
  <c r="AB67" i="1"/>
  <c r="AC66" i="1"/>
  <c r="AB66" i="1"/>
  <c r="AC65" i="1"/>
  <c r="AB65" i="1"/>
  <c r="AC64" i="1"/>
  <c r="AB64" i="1"/>
  <c r="AC63" i="1"/>
  <c r="AB63" i="1"/>
  <c r="AC62" i="1"/>
  <c r="AB62" i="1"/>
  <c r="AC61" i="1"/>
  <c r="AB61" i="1"/>
  <c r="AC60" i="1"/>
  <c r="AB60" i="1"/>
  <c r="AC59" i="1"/>
  <c r="AB59" i="1"/>
  <c r="AC58" i="1"/>
  <c r="AB58" i="1"/>
  <c r="AC57" i="1"/>
  <c r="AB57" i="1"/>
  <c r="AC56" i="1"/>
  <c r="AB56" i="1"/>
  <c r="AC55" i="1"/>
  <c r="AB55" i="1"/>
  <c r="AC54" i="1"/>
  <c r="AB54" i="1"/>
  <c r="AC53" i="1"/>
  <c r="AB53" i="1"/>
  <c r="AC52" i="1"/>
  <c r="AB52" i="1"/>
  <c r="AC51" i="1"/>
  <c r="AB51" i="1"/>
  <c r="AC50" i="1"/>
  <c r="AB50" i="1"/>
  <c r="AC49" i="1"/>
  <c r="AB49" i="1"/>
  <c r="AC48" i="1"/>
  <c r="AB48" i="1"/>
  <c r="AC47" i="1"/>
  <c r="AB47" i="1"/>
  <c r="AC46" i="1"/>
  <c r="AB46" i="1"/>
  <c r="AC45" i="1"/>
  <c r="AB45" i="1"/>
  <c r="AC44" i="1"/>
  <c r="AB44" i="1"/>
  <c r="AC43" i="1"/>
  <c r="AB43" i="1"/>
  <c r="AC42" i="1"/>
  <c r="AB42" i="1"/>
  <c r="AC41" i="1"/>
  <c r="AB41" i="1"/>
  <c r="AC40" i="1"/>
  <c r="AB40" i="1"/>
  <c r="AC39" i="1"/>
  <c r="AB39" i="1"/>
  <c r="AC38" i="1"/>
  <c r="AB38" i="1"/>
  <c r="AC37" i="1"/>
  <c r="AB37" i="1"/>
  <c r="AC36" i="1"/>
  <c r="AB36" i="1"/>
  <c r="AC35" i="1"/>
  <c r="AB35" i="1"/>
  <c r="AC34" i="1"/>
  <c r="AB34" i="1"/>
  <c r="AC33" i="1"/>
  <c r="AB33" i="1"/>
  <c r="AC32" i="1"/>
  <c r="AB32" i="1"/>
  <c r="AC31" i="1"/>
  <c r="AB31" i="1"/>
  <c r="AC30" i="1"/>
  <c r="AB30" i="1"/>
  <c r="AC29" i="1"/>
  <c r="AB29" i="1"/>
  <c r="AC28" i="1"/>
  <c r="AB28" i="1"/>
  <c r="AC27" i="1"/>
  <c r="AB27" i="1"/>
  <c r="AC26" i="1"/>
  <c r="AB26" i="1"/>
  <c r="AC25" i="1"/>
  <c r="AB25" i="1"/>
  <c r="AC24" i="1"/>
  <c r="AB24" i="1"/>
  <c r="AC23" i="1"/>
  <c r="AB23" i="1"/>
  <c r="AC22" i="1"/>
  <c r="AB22" i="1"/>
  <c r="AC21" i="1"/>
  <c r="AB21" i="1"/>
  <c r="AC20" i="1"/>
  <c r="AB20" i="1"/>
  <c r="AC19" i="1"/>
  <c r="AB19" i="1"/>
  <c r="AC18" i="1"/>
  <c r="AB18" i="1"/>
  <c r="AC17" i="1"/>
  <c r="AB17" i="1"/>
  <c r="AC16" i="1"/>
  <c r="AB16" i="1"/>
  <c r="AC15" i="1"/>
  <c r="AB15" i="1"/>
  <c r="AC14" i="1"/>
  <c r="AB14" i="1"/>
  <c r="AC13" i="1"/>
  <c r="AB13" i="1"/>
  <c r="AC12" i="1"/>
  <c r="AB12" i="1"/>
  <c r="AC11" i="1"/>
  <c r="AB11" i="1"/>
  <c r="AC10" i="1"/>
  <c r="AB10" i="1"/>
  <c r="AC9" i="1"/>
  <c r="AB9" i="1"/>
  <c r="AC8" i="1"/>
  <c r="AB8" i="1"/>
  <c r="AC7" i="1"/>
  <c r="AB7" i="1"/>
  <c r="AC6" i="1"/>
  <c r="AB6" i="1"/>
  <c r="AC5" i="1"/>
  <c r="AB5" i="1"/>
  <c r="AC4" i="1"/>
  <c r="AB4" i="1"/>
  <c r="AC3" i="1"/>
  <c r="AB3" i="1"/>
  <c r="AA253" i="1"/>
  <c r="Z253" i="1"/>
  <c r="Y253" i="1"/>
  <c r="X253" i="1"/>
  <c r="W253" i="1"/>
  <c r="V253" i="1"/>
  <c r="U253" i="1"/>
  <c r="T253" i="1"/>
  <c r="S253" i="1"/>
  <c r="R253" i="1"/>
  <c r="Q253" i="1"/>
  <c r="AA252" i="1"/>
  <c r="Z252" i="1"/>
  <c r="Y252" i="1"/>
  <c r="X252" i="1"/>
  <c r="W252" i="1"/>
  <c r="V252" i="1"/>
  <c r="U252" i="1"/>
  <c r="T252" i="1"/>
  <c r="S252" i="1"/>
  <c r="R252" i="1"/>
  <c r="Q252" i="1"/>
  <c r="AA251" i="1"/>
  <c r="Z251" i="1"/>
  <c r="Y251" i="1"/>
  <c r="X251" i="1"/>
  <c r="W251" i="1"/>
  <c r="V251" i="1"/>
  <c r="U251" i="1"/>
  <c r="T251" i="1"/>
  <c r="S251" i="1"/>
  <c r="R251" i="1"/>
  <c r="Q251" i="1"/>
  <c r="AA250" i="1"/>
  <c r="Z250" i="1"/>
  <c r="Y250" i="1"/>
  <c r="X250" i="1"/>
  <c r="W250" i="1"/>
  <c r="V250" i="1"/>
  <c r="U250" i="1"/>
  <c r="T250" i="1"/>
  <c r="S250" i="1"/>
  <c r="R250" i="1"/>
  <c r="Q250" i="1"/>
  <c r="AA249" i="1"/>
  <c r="Z249" i="1"/>
  <c r="Y249" i="1"/>
  <c r="X249" i="1"/>
  <c r="W249" i="1"/>
  <c r="V249" i="1"/>
  <c r="U249" i="1"/>
  <c r="T249" i="1"/>
  <c r="S249" i="1"/>
  <c r="R249" i="1"/>
  <c r="Q249" i="1"/>
  <c r="AA248" i="1"/>
  <c r="Z248" i="1"/>
  <c r="Y248" i="1"/>
  <c r="X248" i="1"/>
  <c r="W248" i="1"/>
  <c r="V248" i="1"/>
  <c r="U248" i="1"/>
  <c r="T248" i="1"/>
  <c r="S248" i="1"/>
  <c r="R248" i="1"/>
  <c r="Q248" i="1"/>
  <c r="AA247" i="1"/>
  <c r="Z247" i="1"/>
  <c r="Y247" i="1"/>
  <c r="X247" i="1"/>
  <c r="W247" i="1"/>
  <c r="V247" i="1"/>
  <c r="U247" i="1"/>
  <c r="T247" i="1"/>
  <c r="S247" i="1"/>
  <c r="R247" i="1"/>
  <c r="Q247" i="1"/>
  <c r="AA246" i="1"/>
  <c r="Z246" i="1"/>
  <c r="Y246" i="1"/>
  <c r="X246" i="1"/>
  <c r="W246" i="1"/>
  <c r="V246" i="1"/>
  <c r="U246" i="1"/>
  <c r="T246" i="1"/>
  <c r="S246" i="1"/>
  <c r="R246" i="1"/>
  <c r="Q246" i="1"/>
  <c r="AA245" i="1"/>
  <c r="Z245" i="1"/>
  <c r="Y245" i="1"/>
  <c r="X245" i="1"/>
  <c r="W245" i="1"/>
  <c r="V245" i="1"/>
  <c r="U245" i="1"/>
  <c r="T245" i="1"/>
  <c r="S245" i="1"/>
  <c r="R245" i="1"/>
  <c r="Q245" i="1"/>
  <c r="AA244" i="1"/>
  <c r="Z244" i="1"/>
  <c r="Y244" i="1"/>
  <c r="X244" i="1"/>
  <c r="W244" i="1"/>
  <c r="V244" i="1"/>
  <c r="U244" i="1"/>
  <c r="T244" i="1"/>
  <c r="S244" i="1"/>
  <c r="R244" i="1"/>
  <c r="Q244" i="1"/>
  <c r="AA243" i="1"/>
  <c r="Z243" i="1"/>
  <c r="Y243" i="1"/>
  <c r="X243" i="1"/>
  <c r="W243" i="1"/>
  <c r="V243" i="1"/>
  <c r="U243" i="1"/>
  <c r="T243" i="1"/>
  <c r="S243" i="1"/>
  <c r="R243" i="1"/>
  <c r="Q243" i="1"/>
  <c r="AA242" i="1"/>
  <c r="Z242" i="1"/>
  <c r="Y242" i="1"/>
  <c r="X242" i="1"/>
  <c r="W242" i="1"/>
  <c r="V242" i="1"/>
  <c r="U242" i="1"/>
  <c r="T242" i="1"/>
  <c r="S242" i="1"/>
  <c r="R242" i="1"/>
  <c r="Q242" i="1"/>
  <c r="AA241" i="1"/>
  <c r="Z241" i="1"/>
  <c r="Y241" i="1"/>
  <c r="X241" i="1"/>
  <c r="W241" i="1"/>
  <c r="V241" i="1"/>
  <c r="U241" i="1"/>
  <c r="T241" i="1"/>
  <c r="S241" i="1"/>
  <c r="R241" i="1"/>
  <c r="Q241" i="1"/>
  <c r="AA240" i="1"/>
  <c r="Z240" i="1"/>
  <c r="Y240" i="1"/>
  <c r="X240" i="1"/>
  <c r="W240" i="1"/>
  <c r="V240" i="1"/>
  <c r="U240" i="1"/>
  <c r="T240" i="1"/>
  <c r="S240" i="1"/>
  <c r="R240" i="1"/>
  <c r="Q240" i="1"/>
  <c r="AA239" i="1"/>
  <c r="Z239" i="1"/>
  <c r="Y239" i="1"/>
  <c r="X239" i="1"/>
  <c r="W239" i="1"/>
  <c r="V239" i="1"/>
  <c r="U239" i="1"/>
  <c r="T239" i="1"/>
  <c r="S239" i="1"/>
  <c r="R239" i="1"/>
  <c r="Q239" i="1"/>
  <c r="AA238" i="1"/>
  <c r="Z238" i="1"/>
  <c r="Y238" i="1"/>
  <c r="X238" i="1"/>
  <c r="W238" i="1"/>
  <c r="V238" i="1"/>
  <c r="U238" i="1"/>
  <c r="T238" i="1"/>
  <c r="S238" i="1"/>
  <c r="R238" i="1"/>
  <c r="Q238" i="1"/>
  <c r="AA237" i="1"/>
  <c r="Z237" i="1"/>
  <c r="Y237" i="1"/>
  <c r="X237" i="1"/>
  <c r="W237" i="1"/>
  <c r="V237" i="1"/>
  <c r="U237" i="1"/>
  <c r="T237" i="1"/>
  <c r="S237" i="1"/>
  <c r="R237" i="1"/>
  <c r="Q237" i="1"/>
  <c r="AA236" i="1"/>
  <c r="Z236" i="1"/>
  <c r="Y236" i="1"/>
  <c r="X236" i="1"/>
  <c r="W236" i="1"/>
  <c r="V236" i="1"/>
  <c r="U236" i="1"/>
  <c r="T236" i="1"/>
  <c r="S236" i="1"/>
  <c r="R236" i="1"/>
  <c r="Q236" i="1"/>
  <c r="AA235" i="1"/>
  <c r="Z235" i="1"/>
  <c r="Y235" i="1"/>
  <c r="X235" i="1"/>
  <c r="W235" i="1"/>
  <c r="V235" i="1"/>
  <c r="U235" i="1"/>
  <c r="T235" i="1"/>
  <c r="S235" i="1"/>
  <c r="R235" i="1"/>
  <c r="Q235" i="1"/>
  <c r="AA234" i="1"/>
  <c r="Z234" i="1"/>
  <c r="Y234" i="1"/>
  <c r="X234" i="1"/>
  <c r="W234" i="1"/>
  <c r="V234" i="1"/>
  <c r="U234" i="1"/>
  <c r="T234" i="1"/>
  <c r="S234" i="1"/>
  <c r="R234" i="1"/>
  <c r="Q234" i="1"/>
  <c r="AA233" i="1"/>
  <c r="Z233" i="1"/>
  <c r="Y233" i="1"/>
  <c r="X233" i="1"/>
  <c r="W233" i="1"/>
  <c r="V233" i="1"/>
  <c r="U233" i="1"/>
  <c r="T233" i="1"/>
  <c r="S233" i="1"/>
  <c r="R233" i="1"/>
  <c r="Q233" i="1"/>
  <c r="AA232" i="1"/>
  <c r="Z232" i="1"/>
  <c r="Y232" i="1"/>
  <c r="X232" i="1"/>
  <c r="W232" i="1"/>
  <c r="V232" i="1"/>
  <c r="U232" i="1"/>
  <c r="T232" i="1"/>
  <c r="S232" i="1"/>
  <c r="R232" i="1"/>
  <c r="Q232" i="1"/>
  <c r="AA231" i="1"/>
  <c r="Z231" i="1"/>
  <c r="Y231" i="1"/>
  <c r="X231" i="1"/>
  <c r="W231" i="1"/>
  <c r="V231" i="1"/>
  <c r="U231" i="1"/>
  <c r="T231" i="1"/>
  <c r="S231" i="1"/>
  <c r="R231" i="1"/>
  <c r="Q231" i="1"/>
  <c r="AA230" i="1"/>
  <c r="Z230" i="1"/>
  <c r="Y230" i="1"/>
  <c r="X230" i="1"/>
  <c r="W230" i="1"/>
  <c r="V230" i="1"/>
  <c r="U230" i="1"/>
  <c r="T230" i="1"/>
  <c r="S230" i="1"/>
  <c r="R230" i="1"/>
  <c r="Q230" i="1"/>
  <c r="AA229" i="1"/>
  <c r="Z229" i="1"/>
  <c r="Y229" i="1"/>
  <c r="X229" i="1"/>
  <c r="W229" i="1"/>
  <c r="V229" i="1"/>
  <c r="U229" i="1"/>
  <c r="T229" i="1"/>
  <c r="S229" i="1"/>
  <c r="R229" i="1"/>
  <c r="Q229" i="1"/>
  <c r="AA228" i="1"/>
  <c r="Z228" i="1"/>
  <c r="Y228" i="1"/>
  <c r="X228" i="1"/>
  <c r="W228" i="1"/>
  <c r="V228" i="1"/>
  <c r="U228" i="1"/>
  <c r="T228" i="1"/>
  <c r="S228" i="1"/>
  <c r="R228" i="1"/>
  <c r="Q228" i="1"/>
  <c r="AA227" i="1"/>
  <c r="Z227" i="1"/>
  <c r="Y227" i="1"/>
  <c r="X227" i="1"/>
  <c r="W227" i="1"/>
  <c r="V227" i="1"/>
  <c r="U227" i="1"/>
  <c r="T227" i="1"/>
  <c r="S227" i="1"/>
  <c r="R227" i="1"/>
  <c r="Q227" i="1"/>
  <c r="AA226" i="1"/>
  <c r="Z226" i="1"/>
  <c r="Y226" i="1"/>
  <c r="X226" i="1"/>
  <c r="W226" i="1"/>
  <c r="V226" i="1"/>
  <c r="U226" i="1"/>
  <c r="T226" i="1"/>
  <c r="S226" i="1"/>
  <c r="R226" i="1"/>
  <c r="Q226" i="1"/>
  <c r="AA225" i="1"/>
  <c r="Z225" i="1"/>
  <c r="Y225" i="1"/>
  <c r="X225" i="1"/>
  <c r="W225" i="1"/>
  <c r="V225" i="1"/>
  <c r="U225" i="1"/>
  <c r="T225" i="1"/>
  <c r="S225" i="1"/>
  <c r="R225" i="1"/>
  <c r="Q225" i="1"/>
  <c r="AA224" i="1"/>
  <c r="Z224" i="1"/>
  <c r="Y224" i="1"/>
  <c r="X224" i="1"/>
  <c r="W224" i="1"/>
  <c r="V224" i="1"/>
  <c r="U224" i="1"/>
  <c r="T224" i="1"/>
  <c r="S224" i="1"/>
  <c r="R224" i="1"/>
  <c r="Q224" i="1"/>
  <c r="AA223" i="1"/>
  <c r="Z223" i="1"/>
  <c r="Y223" i="1"/>
  <c r="X223" i="1"/>
  <c r="W223" i="1"/>
  <c r="V223" i="1"/>
  <c r="U223" i="1"/>
  <c r="T223" i="1"/>
  <c r="S223" i="1"/>
  <c r="R223" i="1"/>
  <c r="Q223" i="1"/>
  <c r="AA222" i="1"/>
  <c r="Z222" i="1"/>
  <c r="Y222" i="1"/>
  <c r="X222" i="1"/>
  <c r="W222" i="1"/>
  <c r="V222" i="1"/>
  <c r="U222" i="1"/>
  <c r="T222" i="1"/>
  <c r="S222" i="1"/>
  <c r="R222" i="1"/>
  <c r="Q222" i="1"/>
  <c r="AA221" i="1"/>
  <c r="Z221" i="1"/>
  <c r="Y221" i="1"/>
  <c r="X221" i="1"/>
  <c r="W221" i="1"/>
  <c r="V221" i="1"/>
  <c r="U221" i="1"/>
  <c r="T221" i="1"/>
  <c r="S221" i="1"/>
  <c r="R221" i="1"/>
  <c r="Q221" i="1"/>
  <c r="AA220" i="1"/>
  <c r="Z220" i="1"/>
  <c r="Y220" i="1"/>
  <c r="X220" i="1"/>
  <c r="W220" i="1"/>
  <c r="V220" i="1"/>
  <c r="U220" i="1"/>
  <c r="T220" i="1"/>
  <c r="S220" i="1"/>
  <c r="R220" i="1"/>
  <c r="Q220" i="1"/>
  <c r="AA219" i="1"/>
  <c r="Z219" i="1"/>
  <c r="Y219" i="1"/>
  <c r="X219" i="1"/>
  <c r="W219" i="1"/>
  <c r="V219" i="1"/>
  <c r="U219" i="1"/>
  <c r="T219" i="1"/>
  <c r="S219" i="1"/>
  <c r="R219" i="1"/>
  <c r="Q219" i="1"/>
  <c r="AA218" i="1"/>
  <c r="Z218" i="1"/>
  <c r="Y218" i="1"/>
  <c r="X218" i="1"/>
  <c r="W218" i="1"/>
  <c r="V218" i="1"/>
  <c r="U218" i="1"/>
  <c r="T218" i="1"/>
  <c r="S218" i="1"/>
  <c r="R218" i="1"/>
  <c r="Q218" i="1"/>
  <c r="AA217" i="1"/>
  <c r="Z217" i="1"/>
  <c r="Y217" i="1"/>
  <c r="X217" i="1"/>
  <c r="W217" i="1"/>
  <c r="V217" i="1"/>
  <c r="U217" i="1"/>
  <c r="T217" i="1"/>
  <c r="S217" i="1"/>
  <c r="R217" i="1"/>
  <c r="Q217" i="1"/>
  <c r="AA216" i="1"/>
  <c r="Z216" i="1"/>
  <c r="Y216" i="1"/>
  <c r="X216" i="1"/>
  <c r="W216" i="1"/>
  <c r="V216" i="1"/>
  <c r="U216" i="1"/>
  <c r="T216" i="1"/>
  <c r="S216" i="1"/>
  <c r="R216" i="1"/>
  <c r="Q216" i="1"/>
  <c r="AA215" i="1"/>
  <c r="Z215" i="1"/>
  <c r="Y215" i="1"/>
  <c r="X215" i="1"/>
  <c r="W215" i="1"/>
  <c r="V215" i="1"/>
  <c r="U215" i="1"/>
  <c r="T215" i="1"/>
  <c r="S215" i="1"/>
  <c r="R215" i="1"/>
  <c r="Q215" i="1"/>
  <c r="AA214" i="1"/>
  <c r="Z214" i="1"/>
  <c r="Y214" i="1"/>
  <c r="X214" i="1"/>
  <c r="W214" i="1"/>
  <c r="V214" i="1"/>
  <c r="U214" i="1"/>
  <c r="T214" i="1"/>
  <c r="S214" i="1"/>
  <c r="R214" i="1"/>
  <c r="Q214" i="1"/>
  <c r="AA213" i="1"/>
  <c r="Z213" i="1"/>
  <c r="Y213" i="1"/>
  <c r="X213" i="1"/>
  <c r="W213" i="1"/>
  <c r="V213" i="1"/>
  <c r="U213" i="1"/>
  <c r="T213" i="1"/>
  <c r="S213" i="1"/>
  <c r="R213" i="1"/>
  <c r="Q213" i="1"/>
  <c r="AA212" i="1"/>
  <c r="Z212" i="1"/>
  <c r="Y212" i="1"/>
  <c r="X212" i="1"/>
  <c r="W212" i="1"/>
  <c r="V212" i="1"/>
  <c r="U212" i="1"/>
  <c r="T212" i="1"/>
  <c r="S212" i="1"/>
  <c r="R212" i="1"/>
  <c r="Q212" i="1"/>
  <c r="AA211" i="1"/>
  <c r="Z211" i="1"/>
  <c r="Y211" i="1"/>
  <c r="X211" i="1"/>
  <c r="W211" i="1"/>
  <c r="V211" i="1"/>
  <c r="U211" i="1"/>
  <c r="T211" i="1"/>
  <c r="S211" i="1"/>
  <c r="R211" i="1"/>
  <c r="Q211" i="1"/>
  <c r="AA210" i="1"/>
  <c r="Z210" i="1"/>
  <c r="Y210" i="1"/>
  <c r="X210" i="1"/>
  <c r="W210" i="1"/>
  <c r="V210" i="1"/>
  <c r="U210" i="1"/>
  <c r="T210" i="1"/>
  <c r="S210" i="1"/>
  <c r="R210" i="1"/>
  <c r="Q210" i="1"/>
  <c r="AA209" i="1"/>
  <c r="Z209" i="1"/>
  <c r="Y209" i="1"/>
  <c r="X209" i="1"/>
  <c r="W209" i="1"/>
  <c r="V209" i="1"/>
  <c r="U209" i="1"/>
  <c r="T209" i="1"/>
  <c r="S209" i="1"/>
  <c r="R209" i="1"/>
  <c r="Q209" i="1"/>
  <c r="AA208" i="1"/>
  <c r="Z208" i="1"/>
  <c r="Y208" i="1"/>
  <c r="X208" i="1"/>
  <c r="W208" i="1"/>
  <c r="V208" i="1"/>
  <c r="U208" i="1"/>
  <c r="T208" i="1"/>
  <c r="S208" i="1"/>
  <c r="R208" i="1"/>
  <c r="Q208" i="1"/>
  <c r="AA207" i="1"/>
  <c r="Z207" i="1"/>
  <c r="Y207" i="1"/>
  <c r="X207" i="1"/>
  <c r="W207" i="1"/>
  <c r="V207" i="1"/>
  <c r="U207" i="1"/>
  <c r="T207" i="1"/>
  <c r="S207" i="1"/>
  <c r="R207" i="1"/>
  <c r="Q207" i="1"/>
  <c r="AA206" i="1"/>
  <c r="Z206" i="1"/>
  <c r="Y206" i="1"/>
  <c r="X206" i="1"/>
  <c r="W206" i="1"/>
  <c r="V206" i="1"/>
  <c r="U206" i="1"/>
  <c r="T206" i="1"/>
  <c r="S206" i="1"/>
  <c r="R206" i="1"/>
  <c r="Q206" i="1"/>
  <c r="AA205" i="1"/>
  <c r="Z205" i="1"/>
  <c r="Y205" i="1"/>
  <c r="X205" i="1"/>
  <c r="W205" i="1"/>
  <c r="V205" i="1"/>
  <c r="U205" i="1"/>
  <c r="T205" i="1"/>
  <c r="S205" i="1"/>
  <c r="R205" i="1"/>
  <c r="Q205" i="1"/>
  <c r="AA204" i="1"/>
  <c r="Z204" i="1"/>
  <c r="Y204" i="1"/>
  <c r="X204" i="1"/>
  <c r="W204" i="1"/>
  <c r="V204" i="1"/>
  <c r="U204" i="1"/>
  <c r="T204" i="1"/>
  <c r="S204" i="1"/>
  <c r="R204" i="1"/>
  <c r="Q204" i="1"/>
  <c r="AA203" i="1"/>
  <c r="Z203" i="1"/>
  <c r="Y203" i="1"/>
  <c r="X203" i="1"/>
  <c r="W203" i="1"/>
  <c r="V203" i="1"/>
  <c r="U203" i="1"/>
  <c r="T203" i="1"/>
  <c r="S203" i="1"/>
  <c r="R203" i="1"/>
  <c r="Q203" i="1"/>
  <c r="AA202" i="1"/>
  <c r="Z202" i="1"/>
  <c r="Y202" i="1"/>
  <c r="X202" i="1"/>
  <c r="W202" i="1"/>
  <c r="V202" i="1"/>
  <c r="U202" i="1"/>
  <c r="T202" i="1"/>
  <c r="S202" i="1"/>
  <c r="R202" i="1"/>
  <c r="Q202" i="1"/>
  <c r="AA201" i="1"/>
  <c r="Z201" i="1"/>
  <c r="Y201" i="1"/>
  <c r="X201" i="1"/>
  <c r="W201" i="1"/>
  <c r="V201" i="1"/>
  <c r="U201" i="1"/>
  <c r="T201" i="1"/>
  <c r="S201" i="1"/>
  <c r="R201" i="1"/>
  <c r="Q201" i="1"/>
  <c r="AA200" i="1"/>
  <c r="Z200" i="1"/>
  <c r="Y200" i="1"/>
  <c r="X200" i="1"/>
  <c r="W200" i="1"/>
  <c r="V200" i="1"/>
  <c r="U200" i="1"/>
  <c r="T200" i="1"/>
  <c r="S200" i="1"/>
  <c r="R200" i="1"/>
  <c r="Q200" i="1"/>
  <c r="AA199" i="1"/>
  <c r="Z199" i="1"/>
  <c r="Y199" i="1"/>
  <c r="X199" i="1"/>
  <c r="W199" i="1"/>
  <c r="V199" i="1"/>
  <c r="U199" i="1"/>
  <c r="T199" i="1"/>
  <c r="S199" i="1"/>
  <c r="R199" i="1"/>
  <c r="Q199" i="1"/>
  <c r="AA198" i="1"/>
  <c r="Z198" i="1"/>
  <c r="Y198" i="1"/>
  <c r="X198" i="1"/>
  <c r="W198" i="1"/>
  <c r="V198" i="1"/>
  <c r="U198" i="1"/>
  <c r="T198" i="1"/>
  <c r="S198" i="1"/>
  <c r="R198" i="1"/>
  <c r="Q198" i="1"/>
  <c r="AA197" i="1"/>
  <c r="Z197" i="1"/>
  <c r="Y197" i="1"/>
  <c r="X197" i="1"/>
  <c r="W197" i="1"/>
  <c r="V197" i="1"/>
  <c r="U197" i="1"/>
  <c r="T197" i="1"/>
  <c r="S197" i="1"/>
  <c r="R197" i="1"/>
  <c r="Q197" i="1"/>
  <c r="AA196" i="1"/>
  <c r="Z196" i="1"/>
  <c r="Y196" i="1"/>
  <c r="X196" i="1"/>
  <c r="W196" i="1"/>
  <c r="V196" i="1"/>
  <c r="U196" i="1"/>
  <c r="T196" i="1"/>
  <c r="S196" i="1"/>
  <c r="R196" i="1"/>
  <c r="Q196" i="1"/>
  <c r="AA195" i="1"/>
  <c r="Z195" i="1"/>
  <c r="Y195" i="1"/>
  <c r="X195" i="1"/>
  <c r="W195" i="1"/>
  <c r="V195" i="1"/>
  <c r="U195" i="1"/>
  <c r="T195" i="1"/>
  <c r="S195" i="1"/>
  <c r="R195" i="1"/>
  <c r="Q195" i="1"/>
  <c r="AA194" i="1"/>
  <c r="Z194" i="1"/>
  <c r="Y194" i="1"/>
  <c r="X194" i="1"/>
  <c r="W194" i="1"/>
  <c r="V194" i="1"/>
  <c r="U194" i="1"/>
  <c r="T194" i="1"/>
  <c r="S194" i="1"/>
  <c r="R194" i="1"/>
  <c r="Q194" i="1"/>
  <c r="AA193" i="1"/>
  <c r="Z193" i="1"/>
  <c r="Y193" i="1"/>
  <c r="X193" i="1"/>
  <c r="W193" i="1"/>
  <c r="V193" i="1"/>
  <c r="U193" i="1"/>
  <c r="T193" i="1"/>
  <c r="S193" i="1"/>
  <c r="R193" i="1"/>
  <c r="Q193" i="1"/>
  <c r="AA192" i="1"/>
  <c r="Z192" i="1"/>
  <c r="Y192" i="1"/>
  <c r="X192" i="1"/>
  <c r="W192" i="1"/>
  <c r="V192" i="1"/>
  <c r="U192" i="1"/>
  <c r="T192" i="1"/>
  <c r="S192" i="1"/>
  <c r="R192" i="1"/>
  <c r="Q192" i="1"/>
  <c r="AA191" i="1"/>
  <c r="Z191" i="1"/>
  <c r="Y191" i="1"/>
  <c r="X191" i="1"/>
  <c r="W191" i="1"/>
  <c r="V191" i="1"/>
  <c r="U191" i="1"/>
  <c r="T191" i="1"/>
  <c r="S191" i="1"/>
  <c r="R191" i="1"/>
  <c r="Q191" i="1"/>
  <c r="AA190" i="1"/>
  <c r="Z190" i="1"/>
  <c r="Y190" i="1"/>
  <c r="X190" i="1"/>
  <c r="W190" i="1"/>
  <c r="V190" i="1"/>
  <c r="U190" i="1"/>
  <c r="T190" i="1"/>
  <c r="S190" i="1"/>
  <c r="R190" i="1"/>
  <c r="Q190" i="1"/>
  <c r="AA189" i="1"/>
  <c r="Z189" i="1"/>
  <c r="Y189" i="1"/>
  <c r="X189" i="1"/>
  <c r="W189" i="1"/>
  <c r="V189" i="1"/>
  <c r="U189" i="1"/>
  <c r="T189" i="1"/>
  <c r="S189" i="1"/>
  <c r="R189" i="1"/>
  <c r="Q189" i="1"/>
  <c r="AA188" i="1"/>
  <c r="Z188" i="1"/>
  <c r="Y188" i="1"/>
  <c r="X188" i="1"/>
  <c r="W188" i="1"/>
  <c r="V188" i="1"/>
  <c r="U188" i="1"/>
  <c r="T188" i="1"/>
  <c r="S188" i="1"/>
  <c r="R188" i="1"/>
  <c r="Q188" i="1"/>
  <c r="AA187" i="1"/>
  <c r="Z187" i="1"/>
  <c r="Y187" i="1"/>
  <c r="X187" i="1"/>
  <c r="W187" i="1"/>
  <c r="V187" i="1"/>
  <c r="U187" i="1"/>
  <c r="T187" i="1"/>
  <c r="S187" i="1"/>
  <c r="R187" i="1"/>
  <c r="Q187" i="1"/>
  <c r="AA186" i="1"/>
  <c r="Z186" i="1"/>
  <c r="Y186" i="1"/>
  <c r="X186" i="1"/>
  <c r="W186" i="1"/>
  <c r="V186" i="1"/>
  <c r="U186" i="1"/>
  <c r="T186" i="1"/>
  <c r="S186" i="1"/>
  <c r="R186" i="1"/>
  <c r="Q186" i="1"/>
  <c r="AA185" i="1"/>
  <c r="Z185" i="1"/>
  <c r="Y185" i="1"/>
  <c r="X185" i="1"/>
  <c r="W185" i="1"/>
  <c r="V185" i="1"/>
  <c r="U185" i="1"/>
  <c r="T185" i="1"/>
  <c r="S185" i="1"/>
  <c r="R185" i="1"/>
  <c r="Q185" i="1"/>
  <c r="AA184" i="1"/>
  <c r="Z184" i="1"/>
  <c r="Y184" i="1"/>
  <c r="X184" i="1"/>
  <c r="W184" i="1"/>
  <c r="V184" i="1"/>
  <c r="U184" i="1"/>
  <c r="T184" i="1"/>
  <c r="S184" i="1"/>
  <c r="R184" i="1"/>
  <c r="Q184" i="1"/>
  <c r="AA183" i="1"/>
  <c r="Z183" i="1"/>
  <c r="Y183" i="1"/>
  <c r="X183" i="1"/>
  <c r="W183" i="1"/>
  <c r="V183" i="1"/>
  <c r="U183" i="1"/>
  <c r="T183" i="1"/>
  <c r="S183" i="1"/>
  <c r="R183" i="1"/>
  <c r="Q183" i="1"/>
  <c r="AA182" i="1"/>
  <c r="Z182" i="1"/>
  <c r="Y182" i="1"/>
  <c r="X182" i="1"/>
  <c r="W182" i="1"/>
  <c r="V182" i="1"/>
  <c r="U182" i="1"/>
  <c r="T182" i="1"/>
  <c r="S182" i="1"/>
  <c r="R182" i="1"/>
  <c r="Q182" i="1"/>
  <c r="AA181" i="1"/>
  <c r="Z181" i="1"/>
  <c r="Y181" i="1"/>
  <c r="X181" i="1"/>
  <c r="W181" i="1"/>
  <c r="V181" i="1"/>
  <c r="U181" i="1"/>
  <c r="T181" i="1"/>
  <c r="S181" i="1"/>
  <c r="R181" i="1"/>
  <c r="Q181" i="1"/>
  <c r="AA180" i="1"/>
  <c r="Z180" i="1"/>
  <c r="Y180" i="1"/>
  <c r="X180" i="1"/>
  <c r="W180" i="1"/>
  <c r="V180" i="1"/>
  <c r="U180" i="1"/>
  <c r="T180" i="1"/>
  <c r="S180" i="1"/>
  <c r="R180" i="1"/>
  <c r="Q180" i="1"/>
  <c r="AA179" i="1"/>
  <c r="Z179" i="1"/>
  <c r="Y179" i="1"/>
  <c r="X179" i="1"/>
  <c r="W179" i="1"/>
  <c r="V179" i="1"/>
  <c r="U179" i="1"/>
  <c r="T179" i="1"/>
  <c r="S179" i="1"/>
  <c r="R179" i="1"/>
  <c r="Q179" i="1"/>
  <c r="AA178" i="1"/>
  <c r="Z178" i="1"/>
  <c r="Y178" i="1"/>
  <c r="X178" i="1"/>
  <c r="W178" i="1"/>
  <c r="V178" i="1"/>
  <c r="U178" i="1"/>
  <c r="T178" i="1"/>
  <c r="S178" i="1"/>
  <c r="R178" i="1"/>
  <c r="Q178" i="1"/>
  <c r="AA177" i="1"/>
  <c r="Z177" i="1"/>
  <c r="Y177" i="1"/>
  <c r="X177" i="1"/>
  <c r="W177" i="1"/>
  <c r="V177" i="1"/>
  <c r="U177" i="1"/>
  <c r="T177" i="1"/>
  <c r="S177" i="1"/>
  <c r="R177" i="1"/>
  <c r="Q177" i="1"/>
  <c r="AA176" i="1"/>
  <c r="Z176" i="1"/>
  <c r="Y176" i="1"/>
  <c r="X176" i="1"/>
  <c r="W176" i="1"/>
  <c r="V176" i="1"/>
  <c r="U176" i="1"/>
  <c r="T176" i="1"/>
  <c r="S176" i="1"/>
  <c r="R176" i="1"/>
  <c r="Q176" i="1"/>
  <c r="AA175" i="1"/>
  <c r="Z175" i="1"/>
  <c r="Y175" i="1"/>
  <c r="X175" i="1"/>
  <c r="W175" i="1"/>
  <c r="V175" i="1"/>
  <c r="U175" i="1"/>
  <c r="T175" i="1"/>
  <c r="S175" i="1"/>
  <c r="R175" i="1"/>
  <c r="Q175" i="1"/>
  <c r="AA174" i="1"/>
  <c r="Z174" i="1"/>
  <c r="Y174" i="1"/>
  <c r="X174" i="1"/>
  <c r="W174" i="1"/>
  <c r="V174" i="1"/>
  <c r="U174" i="1"/>
  <c r="T174" i="1"/>
  <c r="S174" i="1"/>
  <c r="R174" i="1"/>
  <c r="Q174" i="1"/>
  <c r="AA173" i="1"/>
  <c r="Z173" i="1"/>
  <c r="Y173" i="1"/>
  <c r="X173" i="1"/>
  <c r="W173" i="1"/>
  <c r="V173" i="1"/>
  <c r="U173" i="1"/>
  <c r="T173" i="1"/>
  <c r="S173" i="1"/>
  <c r="R173" i="1"/>
  <c r="Q173" i="1"/>
  <c r="AA172" i="1"/>
  <c r="Z172" i="1"/>
  <c r="Y172" i="1"/>
  <c r="X172" i="1"/>
  <c r="W172" i="1"/>
  <c r="V172" i="1"/>
  <c r="U172" i="1"/>
  <c r="T172" i="1"/>
  <c r="S172" i="1"/>
  <c r="R172" i="1"/>
  <c r="Q172" i="1"/>
  <c r="AA171" i="1"/>
  <c r="Z171" i="1"/>
  <c r="Y171" i="1"/>
  <c r="X171" i="1"/>
  <c r="W171" i="1"/>
  <c r="V171" i="1"/>
  <c r="U171" i="1"/>
  <c r="T171" i="1"/>
  <c r="S171" i="1"/>
  <c r="R171" i="1"/>
  <c r="Q171" i="1"/>
  <c r="AA170" i="1"/>
  <c r="Z170" i="1"/>
  <c r="Y170" i="1"/>
  <c r="X170" i="1"/>
  <c r="W170" i="1"/>
  <c r="V170" i="1"/>
  <c r="U170" i="1"/>
  <c r="T170" i="1"/>
  <c r="S170" i="1"/>
  <c r="R170" i="1"/>
  <c r="Q170" i="1"/>
  <c r="AA169" i="1"/>
  <c r="Z169" i="1"/>
  <c r="Y169" i="1"/>
  <c r="X169" i="1"/>
  <c r="W169" i="1"/>
  <c r="V169" i="1"/>
  <c r="U169" i="1"/>
  <c r="T169" i="1"/>
  <c r="S169" i="1"/>
  <c r="R169" i="1"/>
  <c r="Q169" i="1"/>
  <c r="AA168" i="1"/>
  <c r="Z168" i="1"/>
  <c r="Y168" i="1"/>
  <c r="X168" i="1"/>
  <c r="W168" i="1"/>
  <c r="V168" i="1"/>
  <c r="U168" i="1"/>
  <c r="T168" i="1"/>
  <c r="S168" i="1"/>
  <c r="R168" i="1"/>
  <c r="Q168" i="1"/>
  <c r="AA167" i="1"/>
  <c r="Z167" i="1"/>
  <c r="Y167" i="1"/>
  <c r="X167" i="1"/>
  <c r="W167" i="1"/>
  <c r="V167" i="1"/>
  <c r="U167" i="1"/>
  <c r="T167" i="1"/>
  <c r="S167" i="1"/>
  <c r="R167" i="1"/>
  <c r="Q167" i="1"/>
  <c r="AA166" i="1"/>
  <c r="Z166" i="1"/>
  <c r="Y166" i="1"/>
  <c r="X166" i="1"/>
  <c r="W166" i="1"/>
  <c r="V166" i="1"/>
  <c r="U166" i="1"/>
  <c r="T166" i="1"/>
  <c r="S166" i="1"/>
  <c r="R166" i="1"/>
  <c r="Q166" i="1"/>
  <c r="AA165" i="1"/>
  <c r="Z165" i="1"/>
  <c r="Y165" i="1"/>
  <c r="X165" i="1"/>
  <c r="W165" i="1"/>
  <c r="V165" i="1"/>
  <c r="U165" i="1"/>
  <c r="T165" i="1"/>
  <c r="S165" i="1"/>
  <c r="R165" i="1"/>
  <c r="Q165" i="1"/>
  <c r="AA164" i="1"/>
  <c r="Z164" i="1"/>
  <c r="Y164" i="1"/>
  <c r="X164" i="1"/>
  <c r="W164" i="1"/>
  <c r="V164" i="1"/>
  <c r="U164" i="1"/>
  <c r="T164" i="1"/>
  <c r="S164" i="1"/>
  <c r="R164" i="1"/>
  <c r="Q164" i="1"/>
  <c r="AA163" i="1"/>
  <c r="Z163" i="1"/>
  <c r="Y163" i="1"/>
  <c r="X163" i="1"/>
  <c r="W163" i="1"/>
  <c r="V163" i="1"/>
  <c r="U163" i="1"/>
  <c r="T163" i="1"/>
  <c r="S163" i="1"/>
  <c r="R163" i="1"/>
  <c r="Q163" i="1"/>
  <c r="AA162" i="1"/>
  <c r="Z162" i="1"/>
  <c r="Y162" i="1"/>
  <c r="X162" i="1"/>
  <c r="W162" i="1"/>
  <c r="V162" i="1"/>
  <c r="U162" i="1"/>
  <c r="T162" i="1"/>
  <c r="S162" i="1"/>
  <c r="R162" i="1"/>
  <c r="Q162" i="1"/>
  <c r="AA161" i="1"/>
  <c r="Z161" i="1"/>
  <c r="Y161" i="1"/>
  <c r="X161" i="1"/>
  <c r="W161" i="1"/>
  <c r="V161" i="1"/>
  <c r="U161" i="1"/>
  <c r="T161" i="1"/>
  <c r="S161" i="1"/>
  <c r="R161" i="1"/>
  <c r="Q161" i="1"/>
  <c r="AA160" i="1"/>
  <c r="Z160" i="1"/>
  <c r="Y160" i="1"/>
  <c r="X160" i="1"/>
  <c r="W160" i="1"/>
  <c r="V160" i="1"/>
  <c r="U160" i="1"/>
  <c r="T160" i="1"/>
  <c r="S160" i="1"/>
  <c r="R160" i="1"/>
  <c r="Q160" i="1"/>
  <c r="AA159" i="1"/>
  <c r="Z159" i="1"/>
  <c r="Y159" i="1"/>
  <c r="X159" i="1"/>
  <c r="W159" i="1"/>
  <c r="V159" i="1"/>
  <c r="U159" i="1"/>
  <c r="T159" i="1"/>
  <c r="S159" i="1"/>
  <c r="R159" i="1"/>
  <c r="Q159" i="1"/>
  <c r="AA158" i="1"/>
  <c r="Z158" i="1"/>
  <c r="Y158" i="1"/>
  <c r="X158" i="1"/>
  <c r="W158" i="1"/>
  <c r="V158" i="1"/>
  <c r="U158" i="1"/>
  <c r="T158" i="1"/>
  <c r="S158" i="1"/>
  <c r="R158" i="1"/>
  <c r="Q158" i="1"/>
  <c r="AA157" i="1"/>
  <c r="Z157" i="1"/>
  <c r="Y157" i="1"/>
  <c r="X157" i="1"/>
  <c r="W157" i="1"/>
  <c r="V157" i="1"/>
  <c r="U157" i="1"/>
  <c r="T157" i="1"/>
  <c r="S157" i="1"/>
  <c r="R157" i="1"/>
  <c r="Q157" i="1"/>
  <c r="AA156" i="1"/>
  <c r="Z156" i="1"/>
  <c r="Y156" i="1"/>
  <c r="X156" i="1"/>
  <c r="W156" i="1"/>
  <c r="V156" i="1"/>
  <c r="U156" i="1"/>
  <c r="T156" i="1"/>
  <c r="S156" i="1"/>
  <c r="R156" i="1"/>
  <c r="Q156" i="1"/>
  <c r="AA155" i="1"/>
  <c r="Z155" i="1"/>
  <c r="Y155" i="1"/>
  <c r="X155" i="1"/>
  <c r="W155" i="1"/>
  <c r="V155" i="1"/>
  <c r="U155" i="1"/>
  <c r="T155" i="1"/>
  <c r="S155" i="1"/>
  <c r="R155" i="1"/>
  <c r="Q155" i="1"/>
  <c r="AA154" i="1"/>
  <c r="Z154" i="1"/>
  <c r="Y154" i="1"/>
  <c r="X154" i="1"/>
  <c r="W154" i="1"/>
  <c r="V154" i="1"/>
  <c r="U154" i="1"/>
  <c r="T154" i="1"/>
  <c r="S154" i="1"/>
  <c r="R154" i="1"/>
  <c r="Q154" i="1"/>
  <c r="AA153" i="1"/>
  <c r="Z153" i="1"/>
  <c r="Y153" i="1"/>
  <c r="X153" i="1"/>
  <c r="W153" i="1"/>
  <c r="V153" i="1"/>
  <c r="U153" i="1"/>
  <c r="T153" i="1"/>
  <c r="S153" i="1"/>
  <c r="R153" i="1"/>
  <c r="Q153" i="1"/>
  <c r="AA152" i="1"/>
  <c r="Z152" i="1"/>
  <c r="Y152" i="1"/>
  <c r="X152" i="1"/>
  <c r="W152" i="1"/>
  <c r="V152" i="1"/>
  <c r="U152" i="1"/>
  <c r="T152" i="1"/>
  <c r="S152" i="1"/>
  <c r="R152" i="1"/>
  <c r="Q152" i="1"/>
  <c r="AA151" i="1"/>
  <c r="Z151" i="1"/>
  <c r="Y151" i="1"/>
  <c r="X151" i="1"/>
  <c r="W151" i="1"/>
  <c r="V151" i="1"/>
  <c r="U151" i="1"/>
  <c r="T151" i="1"/>
  <c r="S151" i="1"/>
  <c r="R151" i="1"/>
  <c r="Q151" i="1"/>
  <c r="AA150" i="1"/>
  <c r="Z150" i="1"/>
  <c r="Y150" i="1"/>
  <c r="X150" i="1"/>
  <c r="W150" i="1"/>
  <c r="V150" i="1"/>
  <c r="U150" i="1"/>
  <c r="T150" i="1"/>
  <c r="S150" i="1"/>
  <c r="R150" i="1"/>
  <c r="Q150" i="1"/>
  <c r="AA149" i="1"/>
  <c r="Z149" i="1"/>
  <c r="Y149" i="1"/>
  <c r="X149" i="1"/>
  <c r="W149" i="1"/>
  <c r="V149" i="1"/>
  <c r="U149" i="1"/>
  <c r="T149" i="1"/>
  <c r="S149" i="1"/>
  <c r="R149" i="1"/>
  <c r="Q149" i="1"/>
  <c r="AA148" i="1"/>
  <c r="Z148" i="1"/>
  <c r="Y148" i="1"/>
  <c r="X148" i="1"/>
  <c r="W148" i="1"/>
  <c r="V148" i="1"/>
  <c r="U148" i="1"/>
  <c r="T148" i="1"/>
  <c r="S148" i="1"/>
  <c r="R148" i="1"/>
  <c r="Q148" i="1"/>
  <c r="AA147" i="1"/>
  <c r="Z147" i="1"/>
  <c r="Y147" i="1"/>
  <c r="X147" i="1"/>
  <c r="W147" i="1"/>
  <c r="V147" i="1"/>
  <c r="U147" i="1"/>
  <c r="T147" i="1"/>
  <c r="S147" i="1"/>
  <c r="R147" i="1"/>
  <c r="Q147" i="1"/>
  <c r="AA146" i="1"/>
  <c r="Z146" i="1"/>
  <c r="Y146" i="1"/>
  <c r="X146" i="1"/>
  <c r="W146" i="1"/>
  <c r="V146" i="1"/>
  <c r="U146" i="1"/>
  <c r="T146" i="1"/>
  <c r="S146" i="1"/>
  <c r="R146" i="1"/>
  <c r="Q146" i="1"/>
  <c r="AA145" i="1"/>
  <c r="Z145" i="1"/>
  <c r="Y145" i="1"/>
  <c r="X145" i="1"/>
  <c r="W145" i="1"/>
  <c r="V145" i="1"/>
  <c r="U145" i="1"/>
  <c r="T145" i="1"/>
  <c r="S145" i="1"/>
  <c r="R145" i="1"/>
  <c r="Q145" i="1"/>
  <c r="AA144" i="1"/>
  <c r="Z144" i="1"/>
  <c r="Y144" i="1"/>
  <c r="X144" i="1"/>
  <c r="W144" i="1"/>
  <c r="V144" i="1"/>
  <c r="U144" i="1"/>
  <c r="T144" i="1"/>
  <c r="S144" i="1"/>
  <c r="R144" i="1"/>
  <c r="Q144" i="1"/>
  <c r="AA143" i="1"/>
  <c r="Z143" i="1"/>
  <c r="Y143" i="1"/>
  <c r="X143" i="1"/>
  <c r="W143" i="1"/>
  <c r="V143" i="1"/>
  <c r="U143" i="1"/>
  <c r="T143" i="1"/>
  <c r="S143" i="1"/>
  <c r="R143" i="1"/>
  <c r="Q143" i="1"/>
  <c r="AA142" i="1"/>
  <c r="Z142" i="1"/>
  <c r="Y142" i="1"/>
  <c r="X142" i="1"/>
  <c r="W142" i="1"/>
  <c r="V142" i="1"/>
  <c r="U142" i="1"/>
  <c r="T142" i="1"/>
  <c r="S142" i="1"/>
  <c r="R142" i="1"/>
  <c r="Q142" i="1"/>
  <c r="AA141" i="1"/>
  <c r="Z141" i="1"/>
  <c r="Y141" i="1"/>
  <c r="X141" i="1"/>
  <c r="W141" i="1"/>
  <c r="V141" i="1"/>
  <c r="U141" i="1"/>
  <c r="T141" i="1"/>
  <c r="S141" i="1"/>
  <c r="R141" i="1"/>
  <c r="Q141" i="1"/>
  <c r="AA140" i="1"/>
  <c r="Z140" i="1"/>
  <c r="Y140" i="1"/>
  <c r="X140" i="1"/>
  <c r="W140" i="1"/>
  <c r="V140" i="1"/>
  <c r="U140" i="1"/>
  <c r="T140" i="1"/>
  <c r="S140" i="1"/>
  <c r="R140" i="1"/>
  <c r="Q140" i="1"/>
  <c r="AA139" i="1"/>
  <c r="Z139" i="1"/>
  <c r="Y139" i="1"/>
  <c r="X139" i="1"/>
  <c r="W139" i="1"/>
  <c r="V139" i="1"/>
  <c r="U139" i="1"/>
  <c r="T139" i="1"/>
  <c r="S139" i="1"/>
  <c r="R139" i="1"/>
  <c r="Q139" i="1"/>
  <c r="AA138" i="1"/>
  <c r="Z138" i="1"/>
  <c r="Y138" i="1"/>
  <c r="X138" i="1"/>
  <c r="W138" i="1"/>
  <c r="V138" i="1"/>
  <c r="U138" i="1"/>
  <c r="T138" i="1"/>
  <c r="S138" i="1"/>
  <c r="R138" i="1"/>
  <c r="Q138" i="1"/>
  <c r="AA137" i="1"/>
  <c r="Z137" i="1"/>
  <c r="Y137" i="1"/>
  <c r="X137" i="1"/>
  <c r="W137" i="1"/>
  <c r="V137" i="1"/>
  <c r="U137" i="1"/>
  <c r="T137" i="1"/>
  <c r="S137" i="1"/>
  <c r="R137" i="1"/>
  <c r="Q137" i="1"/>
  <c r="AA136" i="1"/>
  <c r="Z136" i="1"/>
  <c r="Y136" i="1"/>
  <c r="X136" i="1"/>
  <c r="W136" i="1"/>
  <c r="V136" i="1"/>
  <c r="U136" i="1"/>
  <c r="T136" i="1"/>
  <c r="S136" i="1"/>
  <c r="R136" i="1"/>
  <c r="Q136" i="1"/>
  <c r="AA135" i="1"/>
  <c r="Z135" i="1"/>
  <c r="Y135" i="1"/>
  <c r="X135" i="1"/>
  <c r="W135" i="1"/>
  <c r="V135" i="1"/>
  <c r="U135" i="1"/>
  <c r="T135" i="1"/>
  <c r="S135" i="1"/>
  <c r="R135" i="1"/>
  <c r="Q135" i="1"/>
  <c r="AA134" i="1"/>
  <c r="Z134" i="1"/>
  <c r="Y134" i="1"/>
  <c r="X134" i="1"/>
  <c r="W134" i="1"/>
  <c r="V134" i="1"/>
  <c r="U134" i="1"/>
  <c r="T134" i="1"/>
  <c r="S134" i="1"/>
  <c r="R134" i="1"/>
  <c r="Q134" i="1"/>
  <c r="AA133" i="1"/>
  <c r="Z133" i="1"/>
  <c r="Y133" i="1"/>
  <c r="X133" i="1"/>
  <c r="W133" i="1"/>
  <c r="V133" i="1"/>
  <c r="U133" i="1"/>
  <c r="T133" i="1"/>
  <c r="S133" i="1"/>
  <c r="R133" i="1"/>
  <c r="Q133" i="1"/>
  <c r="AA132" i="1"/>
  <c r="Z132" i="1"/>
  <c r="Y132" i="1"/>
  <c r="X132" i="1"/>
  <c r="W132" i="1"/>
  <c r="V132" i="1"/>
  <c r="U132" i="1"/>
  <c r="T132" i="1"/>
  <c r="S132" i="1"/>
  <c r="R132" i="1"/>
  <c r="Q132" i="1"/>
  <c r="AA131" i="1"/>
  <c r="Z131" i="1"/>
  <c r="Y131" i="1"/>
  <c r="X131" i="1"/>
  <c r="W131" i="1"/>
  <c r="V131" i="1"/>
  <c r="U131" i="1"/>
  <c r="T131" i="1"/>
  <c r="S131" i="1"/>
  <c r="R131" i="1"/>
  <c r="Q131" i="1"/>
  <c r="AA130" i="1"/>
  <c r="Z130" i="1"/>
  <c r="Y130" i="1"/>
  <c r="X130" i="1"/>
  <c r="W130" i="1"/>
  <c r="V130" i="1"/>
  <c r="U130" i="1"/>
  <c r="T130" i="1"/>
  <c r="S130" i="1"/>
  <c r="R130" i="1"/>
  <c r="Q130" i="1"/>
  <c r="AA129" i="1"/>
  <c r="Z129" i="1"/>
  <c r="Y129" i="1"/>
  <c r="X129" i="1"/>
  <c r="W129" i="1"/>
  <c r="V129" i="1"/>
  <c r="U129" i="1"/>
  <c r="T129" i="1"/>
  <c r="S129" i="1"/>
  <c r="R129" i="1"/>
  <c r="Q129" i="1"/>
  <c r="AA128" i="1"/>
  <c r="Z128" i="1"/>
  <c r="Y128" i="1"/>
  <c r="X128" i="1"/>
  <c r="W128" i="1"/>
  <c r="V128" i="1"/>
  <c r="U128" i="1"/>
  <c r="T128" i="1"/>
  <c r="S128" i="1"/>
  <c r="R128" i="1"/>
  <c r="Q128" i="1"/>
  <c r="AA127" i="1"/>
  <c r="Z127" i="1"/>
  <c r="Y127" i="1"/>
  <c r="X127" i="1"/>
  <c r="W127" i="1"/>
  <c r="V127" i="1"/>
  <c r="U127" i="1"/>
  <c r="T127" i="1"/>
  <c r="S127" i="1"/>
  <c r="R127" i="1"/>
  <c r="Q127" i="1"/>
  <c r="AA126" i="1"/>
  <c r="Z126" i="1"/>
  <c r="Y126" i="1"/>
  <c r="X126" i="1"/>
  <c r="W126" i="1"/>
  <c r="V126" i="1"/>
  <c r="U126" i="1"/>
  <c r="T126" i="1"/>
  <c r="S126" i="1"/>
  <c r="R126" i="1"/>
  <c r="Q126" i="1"/>
  <c r="AA125" i="1"/>
  <c r="Z125" i="1"/>
  <c r="Y125" i="1"/>
  <c r="X125" i="1"/>
  <c r="W125" i="1"/>
  <c r="V125" i="1"/>
  <c r="U125" i="1"/>
  <c r="T125" i="1"/>
  <c r="S125" i="1"/>
  <c r="R125" i="1"/>
  <c r="Q125" i="1"/>
  <c r="AA124" i="1"/>
  <c r="Z124" i="1"/>
  <c r="Y124" i="1"/>
  <c r="X124" i="1"/>
  <c r="W124" i="1"/>
  <c r="V124" i="1"/>
  <c r="U124" i="1"/>
  <c r="T124" i="1"/>
  <c r="S124" i="1"/>
  <c r="R124" i="1"/>
  <c r="Q124" i="1"/>
  <c r="AA123" i="1"/>
  <c r="Z123" i="1"/>
  <c r="Y123" i="1"/>
  <c r="X123" i="1"/>
  <c r="W123" i="1"/>
  <c r="V123" i="1"/>
  <c r="U123" i="1"/>
  <c r="T123" i="1"/>
  <c r="S123" i="1"/>
  <c r="R123" i="1"/>
  <c r="Q123" i="1"/>
  <c r="AA122" i="1"/>
  <c r="Z122" i="1"/>
  <c r="Y122" i="1"/>
  <c r="X122" i="1"/>
  <c r="W122" i="1"/>
  <c r="V122" i="1"/>
  <c r="U122" i="1"/>
  <c r="T122" i="1"/>
  <c r="S122" i="1"/>
  <c r="R122" i="1"/>
  <c r="Q122" i="1"/>
  <c r="AA121" i="1"/>
  <c r="Z121" i="1"/>
  <c r="Y121" i="1"/>
  <c r="X121" i="1"/>
  <c r="W121" i="1"/>
  <c r="V121" i="1"/>
  <c r="U121" i="1"/>
  <c r="T121" i="1"/>
  <c r="S121" i="1"/>
  <c r="R121" i="1"/>
  <c r="Q121" i="1"/>
  <c r="AA120" i="1"/>
  <c r="Z120" i="1"/>
  <c r="Y120" i="1"/>
  <c r="X120" i="1"/>
  <c r="W120" i="1"/>
  <c r="V120" i="1"/>
  <c r="U120" i="1"/>
  <c r="T120" i="1"/>
  <c r="S120" i="1"/>
  <c r="R120" i="1"/>
  <c r="Q120" i="1"/>
  <c r="AA119" i="1"/>
  <c r="Z119" i="1"/>
  <c r="Y119" i="1"/>
  <c r="X119" i="1"/>
  <c r="W119" i="1"/>
  <c r="V119" i="1"/>
  <c r="U119" i="1"/>
  <c r="T119" i="1"/>
  <c r="S119" i="1"/>
  <c r="R119" i="1"/>
  <c r="Q119" i="1"/>
  <c r="AA118" i="1"/>
  <c r="Z118" i="1"/>
  <c r="Y118" i="1"/>
  <c r="X118" i="1"/>
  <c r="W118" i="1"/>
  <c r="V118" i="1"/>
  <c r="U118" i="1"/>
  <c r="T118" i="1"/>
  <c r="S118" i="1"/>
  <c r="R118" i="1"/>
  <c r="Q118" i="1"/>
  <c r="AA117" i="1"/>
  <c r="Z117" i="1"/>
  <c r="Y117" i="1"/>
  <c r="X117" i="1"/>
  <c r="W117" i="1"/>
  <c r="V117" i="1"/>
  <c r="U117" i="1"/>
  <c r="T117" i="1"/>
  <c r="S117" i="1"/>
  <c r="R117" i="1"/>
  <c r="Q117" i="1"/>
  <c r="AA116" i="1"/>
  <c r="Z116" i="1"/>
  <c r="Y116" i="1"/>
  <c r="X116" i="1"/>
  <c r="W116" i="1"/>
  <c r="V116" i="1"/>
  <c r="U116" i="1"/>
  <c r="T116" i="1"/>
  <c r="S116" i="1"/>
  <c r="R116" i="1"/>
  <c r="Q116" i="1"/>
  <c r="AA115" i="1"/>
  <c r="Z115" i="1"/>
  <c r="Y115" i="1"/>
  <c r="X115" i="1"/>
  <c r="W115" i="1"/>
  <c r="V115" i="1"/>
  <c r="U115" i="1"/>
  <c r="T115" i="1"/>
  <c r="S115" i="1"/>
  <c r="R115" i="1"/>
  <c r="Q115" i="1"/>
  <c r="AA114" i="1"/>
  <c r="Z114" i="1"/>
  <c r="Y114" i="1"/>
  <c r="X114" i="1"/>
  <c r="W114" i="1"/>
  <c r="V114" i="1"/>
  <c r="U114" i="1"/>
  <c r="T114" i="1"/>
  <c r="S114" i="1"/>
  <c r="R114" i="1"/>
  <c r="Q114" i="1"/>
  <c r="AA113" i="1"/>
  <c r="Z113" i="1"/>
  <c r="Y113" i="1"/>
  <c r="X113" i="1"/>
  <c r="W113" i="1"/>
  <c r="V113" i="1"/>
  <c r="U113" i="1"/>
  <c r="T113" i="1"/>
  <c r="S113" i="1"/>
  <c r="R113" i="1"/>
  <c r="Q113" i="1"/>
  <c r="AA112" i="1"/>
  <c r="Z112" i="1"/>
  <c r="Y112" i="1"/>
  <c r="X112" i="1"/>
  <c r="W112" i="1"/>
  <c r="V112" i="1"/>
  <c r="U112" i="1"/>
  <c r="T112" i="1"/>
  <c r="S112" i="1"/>
  <c r="R112" i="1"/>
  <c r="Q112" i="1"/>
  <c r="AA111" i="1"/>
  <c r="Z111" i="1"/>
  <c r="Y111" i="1"/>
  <c r="X111" i="1"/>
  <c r="W111" i="1"/>
  <c r="V111" i="1"/>
  <c r="U111" i="1"/>
  <c r="T111" i="1"/>
  <c r="S111" i="1"/>
  <c r="R111" i="1"/>
  <c r="Q111" i="1"/>
  <c r="AA110" i="1"/>
  <c r="Z110" i="1"/>
  <c r="Y110" i="1"/>
  <c r="X110" i="1"/>
  <c r="W110" i="1"/>
  <c r="V110" i="1"/>
  <c r="U110" i="1"/>
  <c r="T110" i="1"/>
  <c r="S110" i="1"/>
  <c r="R110" i="1"/>
  <c r="Q110" i="1"/>
  <c r="AA109" i="1"/>
  <c r="Z109" i="1"/>
  <c r="Y109" i="1"/>
  <c r="X109" i="1"/>
  <c r="W109" i="1"/>
  <c r="V109" i="1"/>
  <c r="U109" i="1"/>
  <c r="T109" i="1"/>
  <c r="S109" i="1"/>
  <c r="R109" i="1"/>
  <c r="Q109" i="1"/>
  <c r="AA108" i="1"/>
  <c r="Z108" i="1"/>
  <c r="Y108" i="1"/>
  <c r="X108" i="1"/>
  <c r="W108" i="1"/>
  <c r="V108" i="1"/>
  <c r="U108" i="1"/>
  <c r="T108" i="1"/>
  <c r="S108" i="1"/>
  <c r="R108" i="1"/>
  <c r="Q108" i="1"/>
  <c r="AA107" i="1"/>
  <c r="Z107" i="1"/>
  <c r="Y107" i="1"/>
  <c r="X107" i="1"/>
  <c r="W107" i="1"/>
  <c r="V107" i="1"/>
  <c r="U107" i="1"/>
  <c r="T107" i="1"/>
  <c r="S107" i="1"/>
  <c r="R107" i="1"/>
  <c r="Q107" i="1"/>
  <c r="AA106" i="1"/>
  <c r="Z106" i="1"/>
  <c r="Y106" i="1"/>
  <c r="X106" i="1"/>
  <c r="W106" i="1"/>
  <c r="V106" i="1"/>
  <c r="U106" i="1"/>
  <c r="T106" i="1"/>
  <c r="S106" i="1"/>
  <c r="R106" i="1"/>
  <c r="Q106" i="1"/>
  <c r="AA105" i="1"/>
  <c r="Z105" i="1"/>
  <c r="Y105" i="1"/>
  <c r="X105" i="1"/>
  <c r="W105" i="1"/>
  <c r="V105" i="1"/>
  <c r="U105" i="1"/>
  <c r="T105" i="1"/>
  <c r="S105" i="1"/>
  <c r="R105" i="1"/>
  <c r="Q105" i="1"/>
  <c r="AA104" i="1"/>
  <c r="Z104" i="1"/>
  <c r="Y104" i="1"/>
  <c r="X104" i="1"/>
  <c r="W104" i="1"/>
  <c r="V104" i="1"/>
  <c r="U104" i="1"/>
  <c r="T104" i="1"/>
  <c r="S104" i="1"/>
  <c r="R104" i="1"/>
  <c r="Q104" i="1"/>
  <c r="AA103" i="1"/>
  <c r="Z103" i="1"/>
  <c r="Y103" i="1"/>
  <c r="X103" i="1"/>
  <c r="W103" i="1"/>
  <c r="V103" i="1"/>
  <c r="U103" i="1"/>
  <c r="T103" i="1"/>
  <c r="S103" i="1"/>
  <c r="R103" i="1"/>
  <c r="Q103" i="1"/>
  <c r="AA102" i="1"/>
  <c r="Z102" i="1"/>
  <c r="Y102" i="1"/>
  <c r="X102" i="1"/>
  <c r="W102" i="1"/>
  <c r="V102" i="1"/>
  <c r="U102" i="1"/>
  <c r="T102" i="1"/>
  <c r="S102" i="1"/>
  <c r="R102" i="1"/>
  <c r="Q102" i="1"/>
  <c r="AA101" i="1"/>
  <c r="Z101" i="1"/>
  <c r="Y101" i="1"/>
  <c r="X101" i="1"/>
  <c r="W101" i="1"/>
  <c r="V101" i="1"/>
  <c r="U101" i="1"/>
  <c r="T101" i="1"/>
  <c r="S101" i="1"/>
  <c r="R101" i="1"/>
  <c r="Q101" i="1"/>
  <c r="AA100" i="1"/>
  <c r="Z100" i="1"/>
  <c r="Y100" i="1"/>
  <c r="X100" i="1"/>
  <c r="W100" i="1"/>
  <c r="V100" i="1"/>
  <c r="U100" i="1"/>
  <c r="T100" i="1"/>
  <c r="S100" i="1"/>
  <c r="R100" i="1"/>
  <c r="Q100" i="1"/>
  <c r="AA99" i="1"/>
  <c r="Z99" i="1"/>
  <c r="Y99" i="1"/>
  <c r="X99" i="1"/>
  <c r="W99" i="1"/>
  <c r="V99" i="1"/>
  <c r="U99" i="1"/>
  <c r="T99" i="1"/>
  <c r="S99" i="1"/>
  <c r="R99" i="1"/>
  <c r="Q99" i="1"/>
  <c r="AA98" i="1"/>
  <c r="Z98" i="1"/>
  <c r="Y98" i="1"/>
  <c r="X98" i="1"/>
  <c r="W98" i="1"/>
  <c r="V98" i="1"/>
  <c r="U98" i="1"/>
  <c r="T98" i="1"/>
  <c r="S98" i="1"/>
  <c r="R98" i="1"/>
  <c r="Q98" i="1"/>
  <c r="AA97" i="1"/>
  <c r="Z97" i="1"/>
  <c r="Y97" i="1"/>
  <c r="X97" i="1"/>
  <c r="W97" i="1"/>
  <c r="V97" i="1"/>
  <c r="U97" i="1"/>
  <c r="T97" i="1"/>
  <c r="S97" i="1"/>
  <c r="R97" i="1"/>
  <c r="Q97" i="1"/>
  <c r="AA96" i="1"/>
  <c r="Z96" i="1"/>
  <c r="Y96" i="1"/>
  <c r="X96" i="1"/>
  <c r="W96" i="1"/>
  <c r="V96" i="1"/>
  <c r="U96" i="1"/>
  <c r="T96" i="1"/>
  <c r="S96" i="1"/>
  <c r="R96" i="1"/>
  <c r="Q96" i="1"/>
  <c r="AA95" i="1"/>
  <c r="Z95" i="1"/>
  <c r="Y95" i="1"/>
  <c r="X95" i="1"/>
  <c r="W95" i="1"/>
  <c r="V95" i="1"/>
  <c r="U95" i="1"/>
  <c r="T95" i="1"/>
  <c r="S95" i="1"/>
  <c r="R95" i="1"/>
  <c r="Q95" i="1"/>
  <c r="AA94" i="1"/>
  <c r="Z94" i="1"/>
  <c r="Y94" i="1"/>
  <c r="X94" i="1"/>
  <c r="W94" i="1"/>
  <c r="V94" i="1"/>
  <c r="U94" i="1"/>
  <c r="T94" i="1"/>
  <c r="S94" i="1"/>
  <c r="R94" i="1"/>
  <c r="Q94" i="1"/>
  <c r="AA93" i="1"/>
  <c r="Z93" i="1"/>
  <c r="Y93" i="1"/>
  <c r="X93" i="1"/>
  <c r="W93" i="1"/>
  <c r="V93" i="1"/>
  <c r="U93" i="1"/>
  <c r="T93" i="1"/>
  <c r="S93" i="1"/>
  <c r="R93" i="1"/>
  <c r="Q93" i="1"/>
  <c r="AA92" i="1"/>
  <c r="Z92" i="1"/>
  <c r="Y92" i="1"/>
  <c r="X92" i="1"/>
  <c r="W92" i="1"/>
  <c r="V92" i="1"/>
  <c r="U92" i="1"/>
  <c r="T92" i="1"/>
  <c r="S92" i="1"/>
  <c r="R92" i="1"/>
  <c r="Q92" i="1"/>
  <c r="AA91" i="1"/>
  <c r="Z91" i="1"/>
  <c r="Y91" i="1"/>
  <c r="X91" i="1"/>
  <c r="W91" i="1"/>
  <c r="V91" i="1"/>
  <c r="U91" i="1"/>
  <c r="T91" i="1"/>
  <c r="S91" i="1"/>
  <c r="R91" i="1"/>
  <c r="Q91" i="1"/>
  <c r="AA90" i="1"/>
  <c r="Z90" i="1"/>
  <c r="Y90" i="1"/>
  <c r="X90" i="1"/>
  <c r="W90" i="1"/>
  <c r="V90" i="1"/>
  <c r="U90" i="1"/>
  <c r="T90" i="1"/>
  <c r="S90" i="1"/>
  <c r="R90" i="1"/>
  <c r="Q90" i="1"/>
  <c r="AA89" i="1"/>
  <c r="Z89" i="1"/>
  <c r="Y89" i="1"/>
  <c r="X89" i="1"/>
  <c r="W89" i="1"/>
  <c r="V89" i="1"/>
  <c r="U89" i="1"/>
  <c r="T89" i="1"/>
  <c r="S89" i="1"/>
  <c r="R89" i="1"/>
  <c r="Q89" i="1"/>
  <c r="AA88" i="1"/>
  <c r="Z88" i="1"/>
  <c r="Y88" i="1"/>
  <c r="X88" i="1"/>
  <c r="W88" i="1"/>
  <c r="V88" i="1"/>
  <c r="U88" i="1"/>
  <c r="T88" i="1"/>
  <c r="S88" i="1"/>
  <c r="R88" i="1"/>
  <c r="Q88" i="1"/>
  <c r="AA87" i="1"/>
  <c r="Z87" i="1"/>
  <c r="Y87" i="1"/>
  <c r="X87" i="1"/>
  <c r="W87" i="1"/>
  <c r="V87" i="1"/>
  <c r="U87" i="1"/>
  <c r="T87" i="1"/>
  <c r="S87" i="1"/>
  <c r="R87" i="1"/>
  <c r="Q87" i="1"/>
  <c r="AA86" i="1"/>
  <c r="Z86" i="1"/>
  <c r="Y86" i="1"/>
  <c r="X86" i="1"/>
  <c r="W86" i="1"/>
  <c r="V86" i="1"/>
  <c r="U86" i="1"/>
  <c r="T86" i="1"/>
  <c r="S86" i="1"/>
  <c r="R86" i="1"/>
  <c r="Q86" i="1"/>
  <c r="AA85" i="1"/>
  <c r="Z85" i="1"/>
  <c r="Y85" i="1"/>
  <c r="X85" i="1"/>
  <c r="W85" i="1"/>
  <c r="V85" i="1"/>
  <c r="U85" i="1"/>
  <c r="T85" i="1"/>
  <c r="S85" i="1"/>
  <c r="R85" i="1"/>
  <c r="Q85" i="1"/>
  <c r="AA84" i="1"/>
  <c r="Z84" i="1"/>
  <c r="Y84" i="1"/>
  <c r="X84" i="1"/>
  <c r="W84" i="1"/>
  <c r="V84" i="1"/>
  <c r="U84" i="1"/>
  <c r="T84" i="1"/>
  <c r="S84" i="1"/>
  <c r="R84" i="1"/>
  <c r="Q84" i="1"/>
  <c r="AA83" i="1"/>
  <c r="Z83" i="1"/>
  <c r="Y83" i="1"/>
  <c r="X83" i="1"/>
  <c r="W83" i="1"/>
  <c r="V83" i="1"/>
  <c r="U83" i="1"/>
  <c r="T83" i="1"/>
  <c r="S83" i="1"/>
  <c r="R83" i="1"/>
  <c r="Q83" i="1"/>
  <c r="AA82" i="1"/>
  <c r="Z82" i="1"/>
  <c r="Y82" i="1"/>
  <c r="X82" i="1"/>
  <c r="W82" i="1"/>
  <c r="V82" i="1"/>
  <c r="U82" i="1"/>
  <c r="T82" i="1"/>
  <c r="S82" i="1"/>
  <c r="R82" i="1"/>
  <c r="Q82" i="1"/>
  <c r="AA81" i="1"/>
  <c r="Z81" i="1"/>
  <c r="Y81" i="1"/>
  <c r="X81" i="1"/>
  <c r="W81" i="1"/>
  <c r="V81" i="1"/>
  <c r="U81" i="1"/>
  <c r="T81" i="1"/>
  <c r="S81" i="1"/>
  <c r="R81" i="1"/>
  <c r="Q81" i="1"/>
  <c r="AA80" i="1"/>
  <c r="Z80" i="1"/>
  <c r="Y80" i="1"/>
  <c r="X80" i="1"/>
  <c r="W80" i="1"/>
  <c r="V80" i="1"/>
  <c r="U80" i="1"/>
  <c r="T80" i="1"/>
  <c r="S80" i="1"/>
  <c r="R80" i="1"/>
  <c r="Q80" i="1"/>
  <c r="AA79" i="1"/>
  <c r="Z79" i="1"/>
  <c r="Y79" i="1"/>
  <c r="X79" i="1"/>
  <c r="W79" i="1"/>
  <c r="V79" i="1"/>
  <c r="U79" i="1"/>
  <c r="T79" i="1"/>
  <c r="S79" i="1"/>
  <c r="R79" i="1"/>
  <c r="Q79" i="1"/>
  <c r="AA78" i="1"/>
  <c r="Z78" i="1"/>
  <c r="Y78" i="1"/>
  <c r="X78" i="1"/>
  <c r="W78" i="1"/>
  <c r="V78" i="1"/>
  <c r="U78" i="1"/>
  <c r="T78" i="1"/>
  <c r="S78" i="1"/>
  <c r="R78" i="1"/>
  <c r="Q78" i="1"/>
  <c r="AA77" i="1"/>
  <c r="Z77" i="1"/>
  <c r="Y77" i="1"/>
  <c r="X77" i="1"/>
  <c r="W77" i="1"/>
  <c r="V77" i="1"/>
  <c r="U77" i="1"/>
  <c r="T77" i="1"/>
  <c r="S77" i="1"/>
  <c r="R77" i="1"/>
  <c r="Q77" i="1"/>
  <c r="AA76" i="1"/>
  <c r="Z76" i="1"/>
  <c r="Y76" i="1"/>
  <c r="X76" i="1"/>
  <c r="W76" i="1"/>
  <c r="V76" i="1"/>
  <c r="U76" i="1"/>
  <c r="T76" i="1"/>
  <c r="S76" i="1"/>
  <c r="R76" i="1"/>
  <c r="Q76" i="1"/>
  <c r="AA75" i="1"/>
  <c r="Z75" i="1"/>
  <c r="Y75" i="1"/>
  <c r="X75" i="1"/>
  <c r="W75" i="1"/>
  <c r="V75" i="1"/>
  <c r="U75" i="1"/>
  <c r="T75" i="1"/>
  <c r="S75" i="1"/>
  <c r="R75" i="1"/>
  <c r="Q75" i="1"/>
  <c r="AA74" i="1"/>
  <c r="Z74" i="1"/>
  <c r="Y74" i="1"/>
  <c r="X74" i="1"/>
  <c r="W74" i="1"/>
  <c r="V74" i="1"/>
  <c r="U74" i="1"/>
  <c r="T74" i="1"/>
  <c r="S74" i="1"/>
  <c r="R74" i="1"/>
  <c r="Q74" i="1"/>
  <c r="AA73" i="1"/>
  <c r="Z73" i="1"/>
  <c r="Y73" i="1"/>
  <c r="X73" i="1"/>
  <c r="W73" i="1"/>
  <c r="V73" i="1"/>
  <c r="U73" i="1"/>
  <c r="T73" i="1"/>
  <c r="S73" i="1"/>
  <c r="R73" i="1"/>
  <c r="Q73" i="1"/>
  <c r="AA72" i="1"/>
  <c r="Z72" i="1"/>
  <c r="Y72" i="1"/>
  <c r="X72" i="1"/>
  <c r="W72" i="1"/>
  <c r="V72" i="1"/>
  <c r="U72" i="1"/>
  <c r="T72" i="1"/>
  <c r="S72" i="1"/>
  <c r="R72" i="1"/>
  <c r="Q72" i="1"/>
  <c r="AA71" i="1"/>
  <c r="Z71" i="1"/>
  <c r="Y71" i="1"/>
  <c r="X71" i="1"/>
  <c r="W71" i="1"/>
  <c r="V71" i="1"/>
  <c r="U71" i="1"/>
  <c r="T71" i="1"/>
  <c r="S71" i="1"/>
  <c r="R71" i="1"/>
  <c r="Q71" i="1"/>
  <c r="AA70" i="1"/>
  <c r="Z70" i="1"/>
  <c r="Y70" i="1"/>
  <c r="X70" i="1"/>
  <c r="W70" i="1"/>
  <c r="V70" i="1"/>
  <c r="U70" i="1"/>
  <c r="T70" i="1"/>
  <c r="S70" i="1"/>
  <c r="R70" i="1"/>
  <c r="Q70" i="1"/>
  <c r="AA69" i="1"/>
  <c r="Z69" i="1"/>
  <c r="Y69" i="1"/>
  <c r="X69" i="1"/>
  <c r="W69" i="1"/>
  <c r="V69" i="1"/>
  <c r="U69" i="1"/>
  <c r="T69" i="1"/>
  <c r="S69" i="1"/>
  <c r="R69" i="1"/>
  <c r="Q69" i="1"/>
  <c r="AA68" i="1"/>
  <c r="Z68" i="1"/>
  <c r="Y68" i="1"/>
  <c r="X68" i="1"/>
  <c r="W68" i="1"/>
  <c r="V68" i="1"/>
  <c r="U68" i="1"/>
  <c r="T68" i="1"/>
  <c r="S68" i="1"/>
  <c r="R68" i="1"/>
  <c r="Q68" i="1"/>
  <c r="AA67" i="1"/>
  <c r="Z67" i="1"/>
  <c r="Y67" i="1"/>
  <c r="X67" i="1"/>
  <c r="W67" i="1"/>
  <c r="V67" i="1"/>
  <c r="U67" i="1"/>
  <c r="T67" i="1"/>
  <c r="S67" i="1"/>
  <c r="R67" i="1"/>
  <c r="Q67" i="1"/>
  <c r="AA66" i="1"/>
  <c r="Z66" i="1"/>
  <c r="Y66" i="1"/>
  <c r="X66" i="1"/>
  <c r="W66" i="1"/>
  <c r="V66" i="1"/>
  <c r="U66" i="1"/>
  <c r="T66" i="1"/>
  <c r="S66" i="1"/>
  <c r="R66" i="1"/>
  <c r="Q66" i="1"/>
  <c r="AA65" i="1"/>
  <c r="Z65" i="1"/>
  <c r="Y65" i="1"/>
  <c r="X65" i="1"/>
  <c r="W65" i="1"/>
  <c r="V65" i="1"/>
  <c r="U65" i="1"/>
  <c r="T65" i="1"/>
  <c r="S65" i="1"/>
  <c r="R65" i="1"/>
  <c r="Q65" i="1"/>
  <c r="AA64" i="1"/>
  <c r="Z64" i="1"/>
  <c r="Y64" i="1"/>
  <c r="X64" i="1"/>
  <c r="W64" i="1"/>
  <c r="V64" i="1"/>
  <c r="U64" i="1"/>
  <c r="T64" i="1"/>
  <c r="S64" i="1"/>
  <c r="R64" i="1"/>
  <c r="Q64" i="1"/>
  <c r="AA63" i="1"/>
  <c r="Z63" i="1"/>
  <c r="Y63" i="1"/>
  <c r="X63" i="1"/>
  <c r="W63" i="1"/>
  <c r="V63" i="1"/>
  <c r="U63" i="1"/>
  <c r="T63" i="1"/>
  <c r="S63" i="1"/>
  <c r="R63" i="1"/>
  <c r="Q63" i="1"/>
  <c r="AA62" i="1"/>
  <c r="Z62" i="1"/>
  <c r="Y62" i="1"/>
  <c r="X62" i="1"/>
  <c r="W62" i="1"/>
  <c r="V62" i="1"/>
  <c r="U62" i="1"/>
  <c r="T62" i="1"/>
  <c r="S62" i="1"/>
  <c r="R62" i="1"/>
  <c r="Q62" i="1"/>
  <c r="AA61" i="1"/>
  <c r="Z61" i="1"/>
  <c r="Y61" i="1"/>
  <c r="X61" i="1"/>
  <c r="W61" i="1"/>
  <c r="V61" i="1"/>
  <c r="U61" i="1"/>
  <c r="T61" i="1"/>
  <c r="S61" i="1"/>
  <c r="R61" i="1"/>
  <c r="Q61" i="1"/>
  <c r="AA60" i="1"/>
  <c r="Z60" i="1"/>
  <c r="Y60" i="1"/>
  <c r="X60" i="1"/>
  <c r="W60" i="1"/>
  <c r="V60" i="1"/>
  <c r="U60" i="1"/>
  <c r="T60" i="1"/>
  <c r="S60" i="1"/>
  <c r="R60" i="1"/>
  <c r="Q60" i="1"/>
  <c r="AA59" i="1"/>
  <c r="Z59" i="1"/>
  <c r="Y59" i="1"/>
  <c r="X59" i="1"/>
  <c r="W59" i="1"/>
  <c r="V59" i="1"/>
  <c r="U59" i="1"/>
  <c r="T59" i="1"/>
  <c r="S59" i="1"/>
  <c r="R59" i="1"/>
  <c r="Q59" i="1"/>
  <c r="AA58" i="1"/>
  <c r="Z58" i="1"/>
  <c r="Y58" i="1"/>
  <c r="X58" i="1"/>
  <c r="W58" i="1"/>
  <c r="V58" i="1"/>
  <c r="U58" i="1"/>
  <c r="T58" i="1"/>
  <c r="S58" i="1"/>
  <c r="R58" i="1"/>
  <c r="Q58" i="1"/>
  <c r="AA57" i="1"/>
  <c r="Z57" i="1"/>
  <c r="Y57" i="1"/>
  <c r="X57" i="1"/>
  <c r="W57" i="1"/>
  <c r="V57" i="1"/>
  <c r="U57" i="1"/>
  <c r="T57" i="1"/>
  <c r="S57" i="1"/>
  <c r="R57" i="1"/>
  <c r="Q57" i="1"/>
  <c r="AA56" i="1"/>
  <c r="Z56" i="1"/>
  <c r="Y56" i="1"/>
  <c r="X56" i="1"/>
  <c r="W56" i="1"/>
  <c r="V56" i="1"/>
  <c r="U56" i="1"/>
  <c r="T56" i="1"/>
  <c r="S56" i="1"/>
  <c r="R56" i="1"/>
  <c r="Q56" i="1"/>
  <c r="AA55" i="1"/>
  <c r="Z55" i="1"/>
  <c r="Y55" i="1"/>
  <c r="X55" i="1"/>
  <c r="W55" i="1"/>
  <c r="V55" i="1"/>
  <c r="U55" i="1"/>
  <c r="T55" i="1"/>
  <c r="S55" i="1"/>
  <c r="R55" i="1"/>
  <c r="Q55" i="1"/>
  <c r="AA54" i="1"/>
  <c r="Z54" i="1"/>
  <c r="Y54" i="1"/>
  <c r="X54" i="1"/>
  <c r="W54" i="1"/>
  <c r="V54" i="1"/>
  <c r="U54" i="1"/>
  <c r="T54" i="1"/>
  <c r="S54" i="1"/>
  <c r="R54" i="1"/>
  <c r="Q54" i="1"/>
  <c r="AA53" i="1"/>
  <c r="Z53" i="1"/>
  <c r="Y53" i="1"/>
  <c r="X53" i="1"/>
  <c r="W53" i="1"/>
  <c r="V53" i="1"/>
  <c r="U53" i="1"/>
  <c r="T53" i="1"/>
  <c r="S53" i="1"/>
  <c r="R53" i="1"/>
  <c r="Q53" i="1"/>
  <c r="AA52" i="1"/>
  <c r="Z52" i="1"/>
  <c r="Y52" i="1"/>
  <c r="X52" i="1"/>
  <c r="W52" i="1"/>
  <c r="V52" i="1"/>
  <c r="U52" i="1"/>
  <c r="T52" i="1"/>
  <c r="S52" i="1"/>
  <c r="R52" i="1"/>
  <c r="Q52" i="1"/>
  <c r="AA51" i="1"/>
  <c r="Z51" i="1"/>
  <c r="Y51" i="1"/>
  <c r="X51" i="1"/>
  <c r="W51" i="1"/>
  <c r="V51" i="1"/>
  <c r="U51" i="1"/>
  <c r="T51" i="1"/>
  <c r="S51" i="1"/>
  <c r="R51" i="1"/>
  <c r="Q51" i="1"/>
  <c r="AA50" i="1"/>
  <c r="Z50" i="1"/>
  <c r="Y50" i="1"/>
  <c r="X50" i="1"/>
  <c r="W50" i="1"/>
  <c r="V50" i="1"/>
  <c r="U50" i="1"/>
  <c r="T50" i="1"/>
  <c r="S50" i="1"/>
  <c r="R50" i="1"/>
  <c r="Q50" i="1"/>
  <c r="AA49" i="1"/>
  <c r="Z49" i="1"/>
  <c r="Y49" i="1"/>
  <c r="X49" i="1"/>
  <c r="W49" i="1"/>
  <c r="V49" i="1"/>
  <c r="U49" i="1"/>
  <c r="T49" i="1"/>
  <c r="S49" i="1"/>
  <c r="R49" i="1"/>
  <c r="Q49" i="1"/>
  <c r="AA48" i="1"/>
  <c r="Z48" i="1"/>
  <c r="Y48" i="1"/>
  <c r="X48" i="1"/>
  <c r="W48" i="1"/>
  <c r="V48" i="1"/>
  <c r="U48" i="1"/>
  <c r="T48" i="1"/>
  <c r="S48" i="1"/>
  <c r="R48" i="1"/>
  <c r="Q48" i="1"/>
  <c r="AA47" i="1"/>
  <c r="Z47" i="1"/>
  <c r="Y47" i="1"/>
  <c r="X47" i="1"/>
  <c r="W47" i="1"/>
  <c r="V47" i="1"/>
  <c r="U47" i="1"/>
  <c r="T47" i="1"/>
  <c r="S47" i="1"/>
  <c r="R47" i="1"/>
  <c r="Q47" i="1"/>
  <c r="AA46" i="1"/>
  <c r="Z46" i="1"/>
  <c r="Y46" i="1"/>
  <c r="X46" i="1"/>
  <c r="W46" i="1"/>
  <c r="V46" i="1"/>
  <c r="U46" i="1"/>
  <c r="T46" i="1"/>
  <c r="S46" i="1"/>
  <c r="R46" i="1"/>
  <c r="Q46" i="1"/>
  <c r="AA45" i="1"/>
  <c r="Z45" i="1"/>
  <c r="Y45" i="1"/>
  <c r="X45" i="1"/>
  <c r="W45" i="1"/>
  <c r="V45" i="1"/>
  <c r="U45" i="1"/>
  <c r="T45" i="1"/>
  <c r="S45" i="1"/>
  <c r="R45" i="1"/>
  <c r="Q45" i="1"/>
  <c r="AA44" i="1"/>
  <c r="Z44" i="1"/>
  <c r="Y44" i="1"/>
  <c r="X44" i="1"/>
  <c r="W44" i="1"/>
  <c r="V44" i="1"/>
  <c r="U44" i="1"/>
  <c r="T44" i="1"/>
  <c r="S44" i="1"/>
  <c r="R44" i="1"/>
  <c r="Q44" i="1"/>
  <c r="AA43" i="1"/>
  <c r="Z43" i="1"/>
  <c r="Y43" i="1"/>
  <c r="X43" i="1"/>
  <c r="W43" i="1"/>
  <c r="V43" i="1"/>
  <c r="U43" i="1"/>
  <c r="T43" i="1"/>
  <c r="S43" i="1"/>
  <c r="R43" i="1"/>
  <c r="Q43" i="1"/>
  <c r="AA42" i="1"/>
  <c r="Z42" i="1"/>
  <c r="Y42" i="1"/>
  <c r="X42" i="1"/>
  <c r="W42" i="1"/>
  <c r="V42" i="1"/>
  <c r="U42" i="1"/>
  <c r="T42" i="1"/>
  <c r="S42" i="1"/>
  <c r="R42" i="1"/>
  <c r="Q42" i="1"/>
  <c r="AA41" i="1"/>
  <c r="Z41" i="1"/>
  <c r="Y41" i="1"/>
  <c r="X41" i="1"/>
  <c r="W41" i="1"/>
  <c r="V41" i="1"/>
  <c r="U41" i="1"/>
  <c r="T41" i="1"/>
  <c r="S41" i="1"/>
  <c r="R41" i="1"/>
  <c r="Q41" i="1"/>
  <c r="AA40" i="1"/>
  <c r="Z40" i="1"/>
  <c r="Y40" i="1"/>
  <c r="X40" i="1"/>
  <c r="W40" i="1"/>
  <c r="V40" i="1"/>
  <c r="U40" i="1"/>
  <c r="T40" i="1"/>
  <c r="S40" i="1"/>
  <c r="R40" i="1"/>
  <c r="Q40" i="1"/>
  <c r="AA39" i="1"/>
  <c r="Z39" i="1"/>
  <c r="Y39" i="1"/>
  <c r="X39" i="1"/>
  <c r="W39" i="1"/>
  <c r="V39" i="1"/>
  <c r="U39" i="1"/>
  <c r="T39" i="1"/>
  <c r="S39" i="1"/>
  <c r="R39" i="1"/>
  <c r="Q39" i="1"/>
  <c r="AA38" i="1"/>
  <c r="Z38" i="1"/>
  <c r="Y38" i="1"/>
  <c r="X38" i="1"/>
  <c r="W38" i="1"/>
  <c r="V38" i="1"/>
  <c r="U38" i="1"/>
  <c r="T38" i="1"/>
  <c r="S38" i="1"/>
  <c r="R38" i="1"/>
  <c r="Q38" i="1"/>
  <c r="AA37" i="1"/>
  <c r="Z37" i="1"/>
  <c r="Y37" i="1"/>
  <c r="X37" i="1"/>
  <c r="W37" i="1"/>
  <c r="V37" i="1"/>
  <c r="U37" i="1"/>
  <c r="T37" i="1"/>
  <c r="S37" i="1"/>
  <c r="R37" i="1"/>
  <c r="Q37" i="1"/>
  <c r="AA36" i="1"/>
  <c r="Z36" i="1"/>
  <c r="Y36" i="1"/>
  <c r="X36" i="1"/>
  <c r="W36" i="1"/>
  <c r="V36" i="1"/>
  <c r="U36" i="1"/>
  <c r="T36" i="1"/>
  <c r="S36" i="1"/>
  <c r="R36" i="1"/>
  <c r="Q36" i="1"/>
  <c r="AA35" i="1"/>
  <c r="Z35" i="1"/>
  <c r="Y35" i="1"/>
  <c r="X35" i="1"/>
  <c r="W35" i="1"/>
  <c r="V35" i="1"/>
  <c r="U35" i="1"/>
  <c r="T35" i="1"/>
  <c r="S35" i="1"/>
  <c r="R35" i="1"/>
  <c r="Q35" i="1"/>
  <c r="AA34" i="1"/>
  <c r="Z34" i="1"/>
  <c r="Y34" i="1"/>
  <c r="X34" i="1"/>
  <c r="W34" i="1"/>
  <c r="V34" i="1"/>
  <c r="U34" i="1"/>
  <c r="T34" i="1"/>
  <c r="S34" i="1"/>
  <c r="R34" i="1"/>
  <c r="Q34" i="1"/>
  <c r="AA33" i="1"/>
  <c r="Z33" i="1"/>
  <c r="Y33" i="1"/>
  <c r="X33" i="1"/>
  <c r="W33" i="1"/>
  <c r="V33" i="1"/>
  <c r="U33" i="1"/>
  <c r="T33" i="1"/>
  <c r="S33" i="1"/>
  <c r="R33" i="1"/>
  <c r="Q33" i="1"/>
  <c r="AA32" i="1"/>
  <c r="Z32" i="1"/>
  <c r="Y32" i="1"/>
  <c r="X32" i="1"/>
  <c r="W32" i="1"/>
  <c r="V32" i="1"/>
  <c r="U32" i="1"/>
  <c r="T32" i="1"/>
  <c r="S32" i="1"/>
  <c r="R32" i="1"/>
  <c r="Q32" i="1"/>
  <c r="AA31" i="1"/>
  <c r="Z31" i="1"/>
  <c r="Y31" i="1"/>
  <c r="X31" i="1"/>
  <c r="W31" i="1"/>
  <c r="V31" i="1"/>
  <c r="U31" i="1"/>
  <c r="T31" i="1"/>
  <c r="S31" i="1"/>
  <c r="R31" i="1"/>
  <c r="Q31" i="1"/>
  <c r="AA30" i="1"/>
  <c r="Z30" i="1"/>
  <c r="Y30" i="1"/>
  <c r="X30" i="1"/>
  <c r="W30" i="1"/>
  <c r="V30" i="1"/>
  <c r="U30" i="1"/>
  <c r="T30" i="1"/>
  <c r="S30" i="1"/>
  <c r="R30" i="1"/>
  <c r="Q30" i="1"/>
  <c r="AA29" i="1"/>
  <c r="Z29" i="1"/>
  <c r="Y29" i="1"/>
  <c r="X29" i="1"/>
  <c r="W29" i="1"/>
  <c r="V29" i="1"/>
  <c r="U29" i="1"/>
  <c r="T29" i="1"/>
  <c r="S29" i="1"/>
  <c r="R29" i="1"/>
  <c r="Q29" i="1"/>
  <c r="AA28" i="1"/>
  <c r="Z28" i="1"/>
  <c r="Y28" i="1"/>
  <c r="X28" i="1"/>
  <c r="W28" i="1"/>
  <c r="V28" i="1"/>
  <c r="U28" i="1"/>
  <c r="T28" i="1"/>
  <c r="S28" i="1"/>
  <c r="R28" i="1"/>
  <c r="Q28" i="1"/>
  <c r="AA27" i="1"/>
  <c r="Z27" i="1"/>
  <c r="Y27" i="1"/>
  <c r="X27" i="1"/>
  <c r="W27" i="1"/>
  <c r="V27" i="1"/>
  <c r="U27" i="1"/>
  <c r="T27" i="1"/>
  <c r="S27" i="1"/>
  <c r="R27" i="1"/>
  <c r="Q27" i="1"/>
  <c r="AA26" i="1"/>
  <c r="Z26" i="1"/>
  <c r="Y26" i="1"/>
  <c r="X26" i="1"/>
  <c r="W26" i="1"/>
  <c r="V26" i="1"/>
  <c r="U26" i="1"/>
  <c r="T26" i="1"/>
  <c r="S26" i="1"/>
  <c r="R26" i="1"/>
  <c r="Q26" i="1"/>
  <c r="AA25" i="1"/>
  <c r="Z25" i="1"/>
  <c r="Y25" i="1"/>
  <c r="X25" i="1"/>
  <c r="W25" i="1"/>
  <c r="V25" i="1"/>
  <c r="U25" i="1"/>
  <c r="T25" i="1"/>
  <c r="S25" i="1"/>
  <c r="R25" i="1"/>
  <c r="Q25" i="1"/>
  <c r="AA24" i="1"/>
  <c r="Z24" i="1"/>
  <c r="Y24" i="1"/>
  <c r="X24" i="1"/>
  <c r="W24" i="1"/>
  <c r="V24" i="1"/>
  <c r="U24" i="1"/>
  <c r="T24" i="1"/>
  <c r="S24" i="1"/>
  <c r="R24" i="1"/>
  <c r="Q24" i="1"/>
  <c r="AA23" i="1"/>
  <c r="Z23" i="1"/>
  <c r="Y23" i="1"/>
  <c r="X23" i="1"/>
  <c r="W23" i="1"/>
  <c r="V23" i="1"/>
  <c r="U23" i="1"/>
  <c r="T23" i="1"/>
  <c r="S23" i="1"/>
  <c r="R23" i="1"/>
  <c r="Q23" i="1"/>
  <c r="AA22" i="1"/>
  <c r="Z22" i="1"/>
  <c r="Y22" i="1"/>
  <c r="X22" i="1"/>
  <c r="W22" i="1"/>
  <c r="V22" i="1"/>
  <c r="U22" i="1"/>
  <c r="T22" i="1"/>
  <c r="S22" i="1"/>
  <c r="R22" i="1"/>
  <c r="Q22" i="1"/>
  <c r="AA21" i="1"/>
  <c r="Z21" i="1"/>
  <c r="Y21" i="1"/>
  <c r="X21" i="1"/>
  <c r="W21" i="1"/>
  <c r="V21" i="1"/>
  <c r="U21" i="1"/>
  <c r="T21" i="1"/>
  <c r="S21" i="1"/>
  <c r="R21" i="1"/>
  <c r="Q21" i="1"/>
  <c r="AA20" i="1"/>
  <c r="Z20" i="1"/>
  <c r="Y20" i="1"/>
  <c r="X20" i="1"/>
  <c r="W20" i="1"/>
  <c r="V20" i="1"/>
  <c r="U20" i="1"/>
  <c r="T20" i="1"/>
  <c r="S20" i="1"/>
  <c r="R20" i="1"/>
  <c r="Q20" i="1"/>
  <c r="AA19" i="1"/>
  <c r="Z19" i="1"/>
  <c r="Y19" i="1"/>
  <c r="X19" i="1"/>
  <c r="W19" i="1"/>
  <c r="V19" i="1"/>
  <c r="U19" i="1"/>
  <c r="T19" i="1"/>
  <c r="S19" i="1"/>
  <c r="R19" i="1"/>
  <c r="Q19" i="1"/>
  <c r="AA18" i="1"/>
  <c r="Z18" i="1"/>
  <c r="Y18" i="1"/>
  <c r="X18" i="1"/>
  <c r="W18" i="1"/>
  <c r="V18" i="1"/>
  <c r="U18" i="1"/>
  <c r="T18" i="1"/>
  <c r="S18" i="1"/>
  <c r="R18" i="1"/>
  <c r="Q18" i="1"/>
  <c r="AA17" i="1"/>
  <c r="Z17" i="1"/>
  <c r="Y17" i="1"/>
  <c r="X17" i="1"/>
  <c r="W17" i="1"/>
  <c r="V17" i="1"/>
  <c r="U17" i="1"/>
  <c r="T17" i="1"/>
  <c r="S17" i="1"/>
  <c r="R17" i="1"/>
  <c r="Q17" i="1"/>
  <c r="AA16" i="1"/>
  <c r="Z16" i="1"/>
  <c r="Y16" i="1"/>
  <c r="X16" i="1"/>
  <c r="W16" i="1"/>
  <c r="V16" i="1"/>
  <c r="U16" i="1"/>
  <c r="T16" i="1"/>
  <c r="S16" i="1"/>
  <c r="R16" i="1"/>
  <c r="Q16" i="1"/>
  <c r="AA15" i="1"/>
  <c r="Z15" i="1"/>
  <c r="Y15" i="1"/>
  <c r="X15" i="1"/>
  <c r="W15" i="1"/>
  <c r="V15" i="1"/>
  <c r="U15" i="1"/>
  <c r="T15" i="1"/>
  <c r="S15" i="1"/>
  <c r="R15" i="1"/>
  <c r="Q15" i="1"/>
  <c r="AA14" i="1"/>
  <c r="Z14" i="1"/>
  <c r="Y14" i="1"/>
  <c r="X14" i="1"/>
  <c r="W14" i="1"/>
  <c r="V14" i="1"/>
  <c r="U14" i="1"/>
  <c r="T14" i="1"/>
  <c r="S14" i="1"/>
  <c r="R14" i="1"/>
  <c r="Q14" i="1"/>
  <c r="AA13" i="1"/>
  <c r="Z13" i="1"/>
  <c r="Y13" i="1"/>
  <c r="X13" i="1"/>
  <c r="W13" i="1"/>
  <c r="V13" i="1"/>
  <c r="U13" i="1"/>
  <c r="T13" i="1"/>
  <c r="S13" i="1"/>
  <c r="R13" i="1"/>
  <c r="Q13" i="1"/>
  <c r="AA12" i="1"/>
  <c r="Z12" i="1"/>
  <c r="Y12" i="1"/>
  <c r="X12" i="1"/>
  <c r="W12" i="1"/>
  <c r="V12" i="1"/>
  <c r="U12" i="1"/>
  <c r="T12" i="1"/>
  <c r="S12" i="1"/>
  <c r="R12" i="1"/>
  <c r="Q12" i="1"/>
  <c r="AA11" i="1"/>
  <c r="Z11" i="1"/>
  <c r="Y11" i="1"/>
  <c r="X11" i="1"/>
  <c r="W11" i="1"/>
  <c r="V11" i="1"/>
  <c r="U11" i="1"/>
  <c r="T11" i="1"/>
  <c r="S11" i="1"/>
  <c r="R11" i="1"/>
  <c r="Q11" i="1"/>
  <c r="AA10" i="1"/>
  <c r="Z10" i="1"/>
  <c r="Y10" i="1"/>
  <c r="X10" i="1"/>
  <c r="W10" i="1"/>
  <c r="V10" i="1"/>
  <c r="U10" i="1"/>
  <c r="T10" i="1"/>
  <c r="S10" i="1"/>
  <c r="R10" i="1"/>
  <c r="Q10" i="1"/>
  <c r="AA9" i="1"/>
  <c r="Z9" i="1"/>
  <c r="Y9" i="1"/>
  <c r="X9" i="1"/>
  <c r="W9" i="1"/>
  <c r="V9" i="1"/>
  <c r="U9" i="1"/>
  <c r="T9" i="1"/>
  <c r="S9" i="1"/>
  <c r="R9" i="1"/>
  <c r="Q9" i="1"/>
  <c r="AA8" i="1"/>
  <c r="Z8" i="1"/>
  <c r="Y8" i="1"/>
  <c r="X8" i="1"/>
  <c r="W8" i="1"/>
  <c r="V8" i="1"/>
  <c r="U8" i="1"/>
  <c r="T8" i="1"/>
  <c r="S8" i="1"/>
  <c r="R8" i="1"/>
  <c r="Q8" i="1"/>
  <c r="AA7" i="1"/>
  <c r="Z7" i="1"/>
  <c r="Y7" i="1"/>
  <c r="X7" i="1"/>
  <c r="W7" i="1"/>
  <c r="V7" i="1"/>
  <c r="U7" i="1"/>
  <c r="T7" i="1"/>
  <c r="S7" i="1"/>
  <c r="R7" i="1"/>
  <c r="Q7" i="1"/>
  <c r="AA6" i="1"/>
  <c r="Z6" i="1"/>
  <c r="Y6" i="1"/>
  <c r="X6" i="1"/>
  <c r="W6" i="1"/>
  <c r="V6" i="1"/>
  <c r="U6" i="1"/>
  <c r="T6" i="1"/>
  <c r="S6" i="1"/>
  <c r="R6" i="1"/>
  <c r="Q6" i="1"/>
  <c r="AA5" i="1"/>
  <c r="Z5" i="1"/>
  <c r="Y5" i="1"/>
  <c r="X5" i="1"/>
  <c r="W5" i="1"/>
  <c r="V5" i="1"/>
  <c r="U5" i="1"/>
  <c r="T5" i="1"/>
  <c r="S5" i="1"/>
  <c r="R5" i="1"/>
  <c r="Q5" i="1"/>
  <c r="AA4" i="1"/>
  <c r="Z4" i="1"/>
  <c r="Y4" i="1"/>
  <c r="X4" i="1"/>
  <c r="W4" i="1"/>
  <c r="V4" i="1"/>
  <c r="U4" i="1"/>
  <c r="T4" i="1"/>
  <c r="S4" i="1"/>
  <c r="R4" i="1"/>
  <c r="Q4" i="1"/>
  <c r="AA3" i="1"/>
  <c r="Z3" i="1"/>
  <c r="Y3" i="1"/>
  <c r="X3" i="1"/>
  <c r="W3" i="1"/>
  <c r="V3" i="1"/>
  <c r="U3" i="1"/>
  <c r="T3" i="1"/>
  <c r="S3" i="1"/>
  <c r="R3" i="1"/>
  <c r="Q3" i="1"/>
</calcChain>
</file>

<file path=xl/sharedStrings.xml><?xml version="1.0" encoding="utf-8"?>
<sst xmlns="http://schemas.openxmlformats.org/spreadsheetml/2006/main" count="60" uniqueCount="32">
  <si>
    <t>date</t>
  </si>
  <si>
    <t>PPI</t>
  </si>
  <si>
    <t>PPI_MoM</t>
  </si>
  <si>
    <t>PPI_YoY</t>
  </si>
  <si>
    <t>CPI</t>
  </si>
  <si>
    <t>IPI</t>
  </si>
  <si>
    <t>WPI</t>
  </si>
  <si>
    <t>imports</t>
  </si>
  <si>
    <t>exports</t>
  </si>
  <si>
    <t>govtrev</t>
  </si>
  <si>
    <t>govtexpt</t>
  </si>
  <si>
    <t>pseiclose</t>
  </si>
  <si>
    <t>tbill_usd90</t>
  </si>
  <si>
    <t>tdr_php360</t>
  </si>
  <si>
    <t>phpusd</t>
  </si>
  <si>
    <t>m1_usd</t>
  </si>
  <si>
    <t>PPI_MoMlog</t>
  </si>
  <si>
    <t>CPI_MoMlog</t>
  </si>
  <si>
    <t>IPI_MoMlog</t>
  </si>
  <si>
    <t>WPI_MoMlog</t>
  </si>
  <si>
    <t>exports_MoMlog</t>
  </si>
  <si>
    <t>imports_MoMlog</t>
  </si>
  <si>
    <t>govtrev_MoMlog</t>
  </si>
  <si>
    <t>govtexpt_MoMlog</t>
  </si>
  <si>
    <t>pseiclose_MoMlog</t>
  </si>
  <si>
    <t>phpusd_MoMlog</t>
  </si>
  <si>
    <t>m1_MoMlog</t>
  </si>
  <si>
    <t>Variable Name</t>
  </si>
  <si>
    <t>Lag</t>
  </si>
  <si>
    <t>Include</t>
  </si>
  <si>
    <t>tbill_usd90_diff</t>
  </si>
  <si>
    <t>tdr_php360_diff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</si>
</sst>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quotePrefix="1"/>
    <xf numFmtId="0" fontId="2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FA36B-81D5-9648-8BD5-6AEB054557AD}">
  <dimension ref="A1:AC253"/>
  <sheetViews>
    <sheetView tabSelected="1" topLeftCell="H1" workbookViewId="0">
      <pane ySplit="1" topLeftCell="A2" activePane="bottomLeft" state="frozen"/>
      <selection pane="bottomLeft" activeCell="AB1" sqref="AB1:AC1"/>
    </sheetView>
  </sheetViews>
  <sheetFormatPr baseColWidth="10" defaultRowHeight="16" x14ac:dyDescent="0.2"/>
  <sheetData>
    <row r="1" spans="1:29" x14ac:dyDescent="0.2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8</v>
      </c>
      <c r="G1" t="s">
        <v>7</v>
      </c>
      <c r="H1" t="s">
        <v>9</v>
      </c>
      <c r="I1" t="s">
        <v>10</v>
      </c>
      <c r="J1" t="s">
        <v>11</v>
      </c>
      <c r="K1" t="s">
        <v>14</v>
      </c>
      <c r="L1" t="s">
        <v>15</v>
      </c>
      <c r="M1" t="s">
        <v>12</v>
      </c>
      <c r="N1" t="s">
        <v>13</v>
      </c>
      <c r="O1" t="s">
        <v>2</v>
      </c>
      <c r="P1" t="s">
        <v>3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30</v>
      </c>
      <c r="AC1" t="s">
        <v>31</v>
      </c>
    </row>
    <row r="2" spans="1:29" x14ac:dyDescent="0.2">
      <c r="A2" s="1">
        <v>37287</v>
      </c>
      <c r="B2">
        <v>67.545638945233193</v>
      </c>
      <c r="C2">
        <v>53.929268129999997</v>
      </c>
      <c r="D2">
        <v>57.9</v>
      </c>
      <c r="E2">
        <v>55.2</v>
      </c>
      <c r="F2">
        <v>2631.4353550000001</v>
      </c>
      <c r="G2">
        <v>2225.7858160000001</v>
      </c>
      <c r="H2">
        <v>47300</v>
      </c>
      <c r="I2">
        <v>62279</v>
      </c>
      <c r="J2">
        <v>1361.94</v>
      </c>
      <c r="K2">
        <v>51.409700000000001</v>
      </c>
      <c r="L2">
        <v>7387.7097920300002</v>
      </c>
      <c r="M2">
        <v>1.73</v>
      </c>
      <c r="N2">
        <v>8.0570000000000004</v>
      </c>
      <c r="O2">
        <v>-1.8567639257294399</v>
      </c>
      <c r="P2">
        <v>0</v>
      </c>
    </row>
    <row r="3" spans="1:29" x14ac:dyDescent="0.2">
      <c r="A3" s="1">
        <v>37315</v>
      </c>
      <c r="B3">
        <v>67.484787018255503</v>
      </c>
      <c r="C3">
        <v>53.863740460000002</v>
      </c>
      <c r="D3">
        <v>61.3</v>
      </c>
      <c r="E3">
        <v>55.5</v>
      </c>
      <c r="F3">
        <v>2627.8711950000002</v>
      </c>
      <c r="G3">
        <v>2543.9712180000001</v>
      </c>
      <c r="H3">
        <v>44048</v>
      </c>
      <c r="I3">
        <v>65010</v>
      </c>
      <c r="J3">
        <v>1406.22</v>
      </c>
      <c r="K3">
        <v>51.281700000000001</v>
      </c>
      <c r="L3">
        <v>7521.5667703500003</v>
      </c>
      <c r="M3">
        <v>1.76</v>
      </c>
      <c r="N3">
        <v>7.2850000000000001</v>
      </c>
      <c r="O3">
        <v>-9.00900900900935E-2</v>
      </c>
      <c r="P3">
        <v>0</v>
      </c>
      <c r="Q3">
        <f>LN(B3/B2)*100</f>
        <v>-9.0130695601277566E-2</v>
      </c>
      <c r="R3">
        <f t="shared" ref="R3:R66" si="0">LN(C3/C2)*100</f>
        <v>-0.12158057174387207</v>
      </c>
      <c r="S3">
        <f t="shared" ref="S3:S66" si="1">LN(D3/D2)*100</f>
        <v>5.7062458363216209</v>
      </c>
      <c r="T3">
        <f t="shared" ref="T3:T66" si="2">LN(E3/E2)*100</f>
        <v>0.54200674693391138</v>
      </c>
      <c r="U3">
        <f t="shared" ref="U3:U66" si="3">LN(F3/F2)*100</f>
        <v>-0.1355372808844478</v>
      </c>
      <c r="V3">
        <f t="shared" ref="V3:V66" si="4">LN(G3/G2)*100</f>
        <v>13.361630273795763</v>
      </c>
      <c r="W3">
        <f t="shared" ref="W3:W66" si="5">LN(H3/H2)*100</f>
        <v>-7.1230347097635844</v>
      </c>
      <c r="X3">
        <f t="shared" ref="X3:X66" si="6">LN(I3/I2)*100</f>
        <v>4.2916813898433777</v>
      </c>
      <c r="Y3">
        <f t="shared" ref="Y3:Y66" si="7">LN(J3/J2)*100</f>
        <v>3.1995099516172547</v>
      </c>
      <c r="Z3">
        <f t="shared" ref="Z3:Z66" si="8">LN(K3/K2)*100</f>
        <v>-0.24929072208366496</v>
      </c>
      <c r="AA3">
        <f t="shared" ref="AA3:AA66" si="9">LN(L3/L2)*100</f>
        <v>1.7956682808186166</v>
      </c>
      <c r="AB3">
        <f>M3-M2</f>
        <v>3.0000000000000027E-2</v>
      </c>
      <c r="AC3">
        <f>N3-N2</f>
        <v>-0.77200000000000024</v>
      </c>
    </row>
    <row r="4" spans="1:29" x14ac:dyDescent="0.2">
      <c r="A4" s="1">
        <v>37346</v>
      </c>
      <c r="B4">
        <v>67.789046653143998</v>
      </c>
      <c r="C4">
        <v>54.060323459999999</v>
      </c>
      <c r="D4">
        <v>62</v>
      </c>
      <c r="E4">
        <v>55.8</v>
      </c>
      <c r="F4">
        <v>2849.0617010000001</v>
      </c>
      <c r="G4">
        <v>3435.7336409999998</v>
      </c>
      <c r="H4">
        <v>39941</v>
      </c>
      <c r="I4">
        <v>65208</v>
      </c>
      <c r="J4">
        <v>1403.62</v>
      </c>
      <c r="K4">
        <v>51.066099999999999</v>
      </c>
      <c r="L4">
        <v>7874.1354994800004</v>
      </c>
      <c r="M4">
        <v>1.76</v>
      </c>
      <c r="N4">
        <v>6.1790000000000003</v>
      </c>
      <c r="O4">
        <v>0.45085662759242801</v>
      </c>
      <c r="P4" s="2">
        <v>0.179856115107905</v>
      </c>
      <c r="Q4">
        <f t="shared" ref="Q4:Q67" si="10">LN(B4/B3)*100</f>
        <v>0.44984331368632546</v>
      </c>
      <c r="R4">
        <f t="shared" si="0"/>
        <v>0.36429913824669918</v>
      </c>
      <c r="S4">
        <f t="shared" si="1"/>
        <v>1.1354542102925849</v>
      </c>
      <c r="T4">
        <f t="shared" si="2"/>
        <v>0.53908486348763729</v>
      </c>
      <c r="U4">
        <f t="shared" si="3"/>
        <v>8.081562548978539</v>
      </c>
      <c r="V4">
        <f t="shared" si="4"/>
        <v>30.050414930105156</v>
      </c>
      <c r="W4">
        <f t="shared" si="5"/>
        <v>-9.787658316968221</v>
      </c>
      <c r="X4">
        <f t="shared" si="6"/>
        <v>0.30410565757789204</v>
      </c>
      <c r="Y4">
        <f t="shared" si="7"/>
        <v>-0.18506397104851088</v>
      </c>
      <c r="Z4">
        <f t="shared" si="8"/>
        <v>-0.42130914179052942</v>
      </c>
      <c r="AA4">
        <f t="shared" si="9"/>
        <v>4.5808937460346941</v>
      </c>
      <c r="AB4">
        <f t="shared" ref="AB4:AB67" si="11">M4-M3</f>
        <v>0</v>
      </c>
      <c r="AC4">
        <f t="shared" ref="AC4:AC67" si="12">N4-N3</f>
        <v>-1.1059999999999999</v>
      </c>
    </row>
    <row r="5" spans="1:29" x14ac:dyDescent="0.2">
      <c r="A5" s="1">
        <v>37376</v>
      </c>
      <c r="B5">
        <v>68.154158215010099</v>
      </c>
      <c r="C5">
        <v>54.12585112</v>
      </c>
      <c r="D5">
        <v>66.5</v>
      </c>
      <c r="E5">
        <v>56.2</v>
      </c>
      <c r="F5">
        <v>2748.8020110000002</v>
      </c>
      <c r="G5">
        <v>3881.2438219999999</v>
      </c>
      <c r="H5">
        <v>55990</v>
      </c>
      <c r="I5">
        <v>77746</v>
      </c>
      <c r="J5">
        <v>1346.09</v>
      </c>
      <c r="K5">
        <v>50.987200000000001</v>
      </c>
      <c r="L5">
        <v>8227.8205452500006</v>
      </c>
      <c r="M5">
        <v>1.74</v>
      </c>
      <c r="N5">
        <v>4.5069999999999997</v>
      </c>
      <c r="O5">
        <v>0.53859964093357804</v>
      </c>
      <c r="P5" s="2">
        <v>0.62893081761007197</v>
      </c>
      <c r="Q5">
        <f t="shared" si="10"/>
        <v>0.53715438019106287</v>
      </c>
      <c r="R5">
        <f t="shared" si="0"/>
        <v>0.12113870976149395</v>
      </c>
      <c r="S5">
        <f t="shared" si="1"/>
        <v>7.0067562616716845</v>
      </c>
      <c r="T5">
        <f t="shared" si="2"/>
        <v>0.71428875123802038</v>
      </c>
      <c r="U5">
        <f t="shared" si="3"/>
        <v>-3.5824527954418239</v>
      </c>
      <c r="V5">
        <f t="shared" si="4"/>
        <v>12.192519390746954</v>
      </c>
      <c r="W5">
        <f t="shared" si="5"/>
        <v>33.776973813023261</v>
      </c>
      <c r="X5">
        <f t="shared" si="6"/>
        <v>17.586494199841006</v>
      </c>
      <c r="Y5">
        <f t="shared" si="7"/>
        <v>-4.185051992748325</v>
      </c>
      <c r="Z5">
        <f t="shared" si="8"/>
        <v>-0.15462511397498166</v>
      </c>
      <c r="AA5">
        <f t="shared" si="9"/>
        <v>4.3937760459425075</v>
      </c>
      <c r="AB5">
        <f t="shared" si="11"/>
        <v>-2.0000000000000018E-2</v>
      </c>
      <c r="AC5">
        <f t="shared" si="12"/>
        <v>-1.6720000000000006</v>
      </c>
    </row>
    <row r="6" spans="1:29" x14ac:dyDescent="0.2">
      <c r="A6" s="1">
        <v>37407</v>
      </c>
      <c r="B6">
        <v>68.3367139959432</v>
      </c>
      <c r="C6">
        <v>54.191378790000002</v>
      </c>
      <c r="D6">
        <v>66.599999999999994</v>
      </c>
      <c r="E6">
        <v>56.4</v>
      </c>
      <c r="F6">
        <v>2918.0588360000002</v>
      </c>
      <c r="G6">
        <v>3302.5155060000002</v>
      </c>
      <c r="H6">
        <v>44983</v>
      </c>
      <c r="I6">
        <v>69559</v>
      </c>
      <c r="J6">
        <v>1315</v>
      </c>
      <c r="K6">
        <v>49.838299999999997</v>
      </c>
      <c r="L6">
        <v>8387.8707487499996</v>
      </c>
      <c r="M6">
        <v>1.71</v>
      </c>
      <c r="N6">
        <v>4.1970000000000001</v>
      </c>
      <c r="O6">
        <v>0.26785714285713802</v>
      </c>
      <c r="P6" s="2">
        <v>0.35746201966041002</v>
      </c>
      <c r="Q6">
        <f t="shared" si="10"/>
        <v>0.26749904493034982</v>
      </c>
      <c r="R6">
        <f t="shared" si="0"/>
        <v>0.1209921598776804</v>
      </c>
      <c r="S6">
        <f t="shared" si="1"/>
        <v>0.15026298845348748</v>
      </c>
      <c r="T6">
        <f t="shared" si="2"/>
        <v>0.35524016043677004</v>
      </c>
      <c r="U6">
        <f t="shared" si="3"/>
        <v>5.9753428623250251</v>
      </c>
      <c r="V6">
        <f t="shared" si="4"/>
        <v>-16.147122230894499</v>
      </c>
      <c r="W6">
        <f t="shared" si="5"/>
        <v>-21.88884627442614</v>
      </c>
      <c r="X6">
        <f t="shared" si="6"/>
        <v>-11.127178948602676</v>
      </c>
      <c r="Y6">
        <f t="shared" si="7"/>
        <v>-2.3367428142004902</v>
      </c>
      <c r="Z6">
        <f t="shared" si="8"/>
        <v>-2.2790856083129736</v>
      </c>
      <c r="AA6">
        <f t="shared" si="9"/>
        <v>1.926554255314511</v>
      </c>
      <c r="AB6">
        <f t="shared" si="11"/>
        <v>-3.0000000000000027E-2</v>
      </c>
      <c r="AC6">
        <f t="shared" si="12"/>
        <v>-0.30999999999999961</v>
      </c>
    </row>
    <row r="7" spans="1:29" x14ac:dyDescent="0.2">
      <c r="A7" s="1">
        <v>37437</v>
      </c>
      <c r="B7">
        <v>70.8316430020284</v>
      </c>
      <c r="C7">
        <v>54.256906450000002</v>
      </c>
      <c r="D7">
        <v>66.099999999999994</v>
      </c>
      <c r="E7">
        <v>56.6</v>
      </c>
      <c r="F7">
        <v>2936.411423</v>
      </c>
      <c r="G7">
        <v>3353.3733360000001</v>
      </c>
      <c r="H7">
        <v>43087</v>
      </c>
      <c r="I7">
        <v>55265</v>
      </c>
      <c r="J7">
        <v>1156.3499999999999</v>
      </c>
      <c r="K7">
        <v>50.406500000000001</v>
      </c>
      <c r="L7">
        <v>8312.8126711599998</v>
      </c>
      <c r="M7">
        <v>1.68</v>
      </c>
      <c r="N7">
        <v>3.7229999999999999</v>
      </c>
      <c r="O7">
        <v>3.65093499554763</v>
      </c>
      <c r="P7" s="2">
        <v>3.28305235137532</v>
      </c>
      <c r="Q7">
        <f t="shared" si="10"/>
        <v>3.5858673552940048</v>
      </c>
      <c r="R7">
        <f t="shared" si="0"/>
        <v>0.12084592730915054</v>
      </c>
      <c r="S7">
        <f t="shared" si="1"/>
        <v>-0.75358306887028481</v>
      </c>
      <c r="T7">
        <f t="shared" si="2"/>
        <v>0.35398267051239868</v>
      </c>
      <c r="U7">
        <f t="shared" si="3"/>
        <v>0.62696183617568191</v>
      </c>
      <c r="V7">
        <f t="shared" si="4"/>
        <v>1.5282352522776357</v>
      </c>
      <c r="W7">
        <f t="shared" si="5"/>
        <v>-4.3063313134475756</v>
      </c>
      <c r="X7">
        <f t="shared" si="6"/>
        <v>-23.003551654162088</v>
      </c>
      <c r="Y7">
        <f t="shared" si="7"/>
        <v>-12.856817303848409</v>
      </c>
      <c r="Z7">
        <f t="shared" si="8"/>
        <v>1.1336370267411264</v>
      </c>
      <c r="AA7">
        <f t="shared" si="9"/>
        <v>-0.89886840042277749</v>
      </c>
      <c r="AB7">
        <f t="shared" si="11"/>
        <v>-3.0000000000000027E-2</v>
      </c>
      <c r="AC7">
        <f t="shared" si="12"/>
        <v>-0.4740000000000002</v>
      </c>
    </row>
    <row r="8" spans="1:29" x14ac:dyDescent="0.2">
      <c r="A8" s="1">
        <v>37468</v>
      </c>
      <c r="B8">
        <v>70.283975659229199</v>
      </c>
      <c r="C8">
        <v>54.51901711</v>
      </c>
      <c r="D8">
        <v>63</v>
      </c>
      <c r="E8">
        <v>56.9</v>
      </c>
      <c r="F8">
        <v>3222.7417810000002</v>
      </c>
      <c r="G8">
        <v>3520.2853369999998</v>
      </c>
      <c r="H8">
        <v>47046</v>
      </c>
      <c r="I8">
        <v>59173</v>
      </c>
      <c r="J8">
        <v>1123.24</v>
      </c>
      <c r="K8">
        <v>50.596299999999999</v>
      </c>
      <c r="L8">
        <v>8152.4818579800003</v>
      </c>
      <c r="M8">
        <v>1.68</v>
      </c>
      <c r="N8">
        <v>4</v>
      </c>
      <c r="O8">
        <v>-0.77319587628866104</v>
      </c>
      <c r="P8" s="2">
        <v>1.49384885764499</v>
      </c>
      <c r="Q8">
        <f t="shared" si="10"/>
        <v>-0.77620053354894125</v>
      </c>
      <c r="R8">
        <f t="shared" si="0"/>
        <v>0.48192864510124878</v>
      </c>
      <c r="S8">
        <f t="shared" si="1"/>
        <v>-4.8034020466107812</v>
      </c>
      <c r="T8">
        <f t="shared" si="2"/>
        <v>0.5286355923148025</v>
      </c>
      <c r="U8">
        <f t="shared" si="3"/>
        <v>9.304425064690367</v>
      </c>
      <c r="V8">
        <f t="shared" si="4"/>
        <v>4.8575242815432169</v>
      </c>
      <c r="W8">
        <f t="shared" si="5"/>
        <v>8.7904518994775032</v>
      </c>
      <c r="X8">
        <f t="shared" si="6"/>
        <v>6.8325560009350088</v>
      </c>
      <c r="Y8">
        <f t="shared" si="7"/>
        <v>-2.9051126400332872</v>
      </c>
      <c r="Z8">
        <f t="shared" si="8"/>
        <v>0.37583160745921507</v>
      </c>
      <c r="AA8">
        <f t="shared" si="9"/>
        <v>-1.9475616503446762</v>
      </c>
      <c r="AB8">
        <f t="shared" si="11"/>
        <v>0</v>
      </c>
      <c r="AC8">
        <f t="shared" si="12"/>
        <v>0.27700000000000014</v>
      </c>
    </row>
    <row r="9" spans="1:29" x14ac:dyDescent="0.2">
      <c r="A9" s="1">
        <v>37499</v>
      </c>
      <c r="B9">
        <v>71.196754563894501</v>
      </c>
      <c r="C9">
        <v>54.715600109999997</v>
      </c>
      <c r="D9">
        <v>64.2</v>
      </c>
      <c r="E9">
        <v>57.2</v>
      </c>
      <c r="F9">
        <v>3032.1713490000002</v>
      </c>
      <c r="G9">
        <v>3857.0127320000001</v>
      </c>
      <c r="H9">
        <v>50380</v>
      </c>
      <c r="I9">
        <v>62568</v>
      </c>
      <c r="J9">
        <v>1103.3599999999999</v>
      </c>
      <c r="K9">
        <v>51.793100000000003</v>
      </c>
      <c r="L9">
        <v>8079.76455351</v>
      </c>
      <c r="M9">
        <v>1.66</v>
      </c>
      <c r="N9">
        <v>3.956</v>
      </c>
      <c r="O9">
        <v>1.2987012987013</v>
      </c>
      <c r="P9">
        <v>2.5416301489921098</v>
      </c>
      <c r="Q9">
        <f t="shared" si="10"/>
        <v>1.2903404835907784</v>
      </c>
      <c r="R9">
        <f t="shared" si="0"/>
        <v>0.35992841322314584</v>
      </c>
      <c r="S9">
        <f t="shared" si="1"/>
        <v>1.8868484304382953</v>
      </c>
      <c r="T9">
        <f t="shared" si="2"/>
        <v>0.52585572534670511</v>
      </c>
      <c r="U9">
        <f t="shared" si="3"/>
        <v>-6.0953502325686033</v>
      </c>
      <c r="V9">
        <f t="shared" si="4"/>
        <v>9.1350932259375881</v>
      </c>
      <c r="W9">
        <f t="shared" si="5"/>
        <v>6.8468424447624336</v>
      </c>
      <c r="X9">
        <f t="shared" si="6"/>
        <v>5.5788608527041577</v>
      </c>
      <c r="Y9">
        <f t="shared" si="7"/>
        <v>-1.7857296577829127</v>
      </c>
      <c r="Z9">
        <f t="shared" si="8"/>
        <v>2.3378484669514648</v>
      </c>
      <c r="AA9">
        <f t="shared" si="9"/>
        <v>-0.89596706553906424</v>
      </c>
      <c r="AB9">
        <f t="shared" si="11"/>
        <v>-2.0000000000000018E-2</v>
      </c>
      <c r="AC9">
        <f t="shared" si="12"/>
        <v>-4.4000000000000039E-2</v>
      </c>
    </row>
    <row r="10" spans="1:29" x14ac:dyDescent="0.2">
      <c r="A10" s="1">
        <v>37529</v>
      </c>
      <c r="B10">
        <v>71.622718052738307</v>
      </c>
      <c r="C10">
        <v>54.715600109999997</v>
      </c>
      <c r="D10">
        <v>68.099999999999994</v>
      </c>
      <c r="E10">
        <v>57.3</v>
      </c>
      <c r="F10">
        <v>3191.393763</v>
      </c>
      <c r="G10">
        <v>3536.5246090000001</v>
      </c>
      <c r="H10">
        <v>46937</v>
      </c>
      <c r="I10">
        <v>69377</v>
      </c>
      <c r="J10">
        <v>1129.3399999999999</v>
      </c>
      <c r="K10">
        <v>52.129199999999997</v>
      </c>
      <c r="L10">
        <v>8120.2310783599996</v>
      </c>
      <c r="M10">
        <v>1.54</v>
      </c>
      <c r="N10">
        <v>4.0339999999999998</v>
      </c>
      <c r="O10">
        <v>0.59829059829059295</v>
      </c>
      <c r="P10" s="2">
        <v>3.0647985989492099</v>
      </c>
      <c r="Q10">
        <f t="shared" si="10"/>
        <v>0.59650794684748931</v>
      </c>
      <c r="R10">
        <f t="shared" si="0"/>
        <v>0</v>
      </c>
      <c r="S10">
        <f t="shared" si="1"/>
        <v>5.8974002459551045</v>
      </c>
      <c r="T10">
        <f t="shared" si="2"/>
        <v>0.17467253349415784</v>
      </c>
      <c r="U10">
        <f t="shared" si="3"/>
        <v>5.117875797183558</v>
      </c>
      <c r="V10">
        <f t="shared" si="4"/>
        <v>-8.6748484187232027</v>
      </c>
      <c r="W10">
        <f t="shared" si="5"/>
        <v>-7.0787993920230718</v>
      </c>
      <c r="X10">
        <f t="shared" si="6"/>
        <v>10.330143518057442</v>
      </c>
      <c r="Y10">
        <f t="shared" si="7"/>
        <v>2.3273321678914041</v>
      </c>
      <c r="Z10">
        <f t="shared" si="8"/>
        <v>0.64683166527915781</v>
      </c>
      <c r="AA10">
        <f t="shared" si="9"/>
        <v>0.49958790034121497</v>
      </c>
      <c r="AB10">
        <f t="shared" si="11"/>
        <v>-0.11999999999999988</v>
      </c>
      <c r="AC10">
        <f t="shared" si="12"/>
        <v>7.7999999999999847E-2</v>
      </c>
    </row>
    <row r="11" spans="1:29" x14ac:dyDescent="0.2">
      <c r="A11" s="1">
        <v>37560</v>
      </c>
      <c r="B11">
        <v>72.109533468559803</v>
      </c>
      <c r="C11">
        <v>54.715600109999997</v>
      </c>
      <c r="D11">
        <v>70.3</v>
      </c>
      <c r="E11">
        <v>57.3</v>
      </c>
      <c r="F11">
        <v>3033.1814100000001</v>
      </c>
      <c r="G11">
        <v>3247.1667360000001</v>
      </c>
      <c r="H11">
        <v>43629</v>
      </c>
      <c r="I11">
        <v>64723</v>
      </c>
      <c r="J11">
        <v>1048.53</v>
      </c>
      <c r="K11">
        <v>52.906999999999996</v>
      </c>
      <c r="L11">
        <v>8201.4897003200003</v>
      </c>
      <c r="M11">
        <v>1.42</v>
      </c>
      <c r="N11">
        <v>3.984</v>
      </c>
      <c r="O11">
        <v>0.67969413763806097</v>
      </c>
      <c r="P11" s="2">
        <v>3.7653239929947402</v>
      </c>
      <c r="Q11">
        <f t="shared" si="10"/>
        <v>0.67739463089548635</v>
      </c>
      <c r="R11">
        <f t="shared" si="0"/>
        <v>0</v>
      </c>
      <c r="S11">
        <f t="shared" si="1"/>
        <v>3.1794585661152563</v>
      </c>
      <c r="T11">
        <f t="shared" si="2"/>
        <v>0</v>
      </c>
      <c r="U11">
        <f t="shared" si="3"/>
        <v>-5.0845698692525527</v>
      </c>
      <c r="V11">
        <f t="shared" si="4"/>
        <v>-8.5361653456916198</v>
      </c>
      <c r="W11">
        <f t="shared" si="5"/>
        <v>-7.3084210140550638</v>
      </c>
      <c r="X11">
        <f t="shared" si="6"/>
        <v>-6.9438775281072065</v>
      </c>
      <c r="Y11">
        <f t="shared" si="7"/>
        <v>-7.4244208038191966</v>
      </c>
      <c r="Z11">
        <f t="shared" si="8"/>
        <v>1.4810402839331791</v>
      </c>
      <c r="AA11">
        <f t="shared" si="9"/>
        <v>0.9957196846027323</v>
      </c>
      <c r="AB11">
        <f t="shared" si="11"/>
        <v>-0.12000000000000011</v>
      </c>
      <c r="AC11">
        <f t="shared" si="12"/>
        <v>-4.9999999999999822E-2</v>
      </c>
    </row>
    <row r="12" spans="1:29" x14ac:dyDescent="0.2">
      <c r="A12" s="1">
        <v>37590</v>
      </c>
      <c r="B12">
        <v>72.170385395537494</v>
      </c>
      <c r="C12">
        <v>54.715600109999997</v>
      </c>
      <c r="D12">
        <v>69.099999999999994</v>
      </c>
      <c r="E12">
        <v>57.2</v>
      </c>
      <c r="F12">
        <v>3103.283089</v>
      </c>
      <c r="G12">
        <v>3436.5049239999998</v>
      </c>
      <c r="H12">
        <v>53845</v>
      </c>
      <c r="I12">
        <v>66832</v>
      </c>
      <c r="J12">
        <v>1047.22</v>
      </c>
      <c r="K12">
        <v>53.308199999999999</v>
      </c>
      <c r="L12">
        <v>8375.9851730600003</v>
      </c>
      <c r="M12">
        <v>1.2</v>
      </c>
      <c r="N12">
        <v>4.157</v>
      </c>
      <c r="O12">
        <v>8.4388185654011696E-2</v>
      </c>
      <c r="P12" s="2">
        <v>4.2179261862917397</v>
      </c>
      <c r="Q12">
        <f t="shared" si="10"/>
        <v>8.4352598843928026E-2</v>
      </c>
      <c r="R12">
        <f t="shared" si="0"/>
        <v>0</v>
      </c>
      <c r="S12">
        <f t="shared" si="1"/>
        <v>-1.7217068042995081</v>
      </c>
      <c r="T12">
        <f t="shared" si="2"/>
        <v>-0.17467253349415374</v>
      </c>
      <c r="U12">
        <f t="shared" si="3"/>
        <v>2.2848573064378872</v>
      </c>
      <c r="V12">
        <f t="shared" si="4"/>
        <v>5.6672101844047198</v>
      </c>
      <c r="W12">
        <f t="shared" si="5"/>
        <v>21.038748191716138</v>
      </c>
      <c r="X12">
        <f t="shared" si="6"/>
        <v>3.2065382556006781</v>
      </c>
      <c r="Y12">
        <f t="shared" si="7"/>
        <v>-0.12501492741152814</v>
      </c>
      <c r="Z12">
        <f t="shared" si="8"/>
        <v>0.7554510240707879</v>
      </c>
      <c r="AA12">
        <f t="shared" si="9"/>
        <v>2.1052894856333877</v>
      </c>
      <c r="AB12">
        <f t="shared" si="11"/>
        <v>-0.21999999999999997</v>
      </c>
      <c r="AC12">
        <f t="shared" si="12"/>
        <v>0.17300000000000004</v>
      </c>
    </row>
    <row r="13" spans="1:29" x14ac:dyDescent="0.2">
      <c r="A13" s="1">
        <v>37621</v>
      </c>
      <c r="B13">
        <v>71.987829614604394</v>
      </c>
      <c r="C13">
        <v>54.846655439999999</v>
      </c>
      <c r="D13">
        <v>66.7</v>
      </c>
      <c r="E13">
        <v>57.7</v>
      </c>
      <c r="F13">
        <v>2913.7467790000001</v>
      </c>
      <c r="G13">
        <v>2896.3964769999998</v>
      </c>
      <c r="H13">
        <v>61220</v>
      </c>
      <c r="I13">
        <v>71407</v>
      </c>
      <c r="J13">
        <v>1018.41</v>
      </c>
      <c r="K13">
        <v>53.519500000000001</v>
      </c>
      <c r="L13">
        <v>9182.0947524700005</v>
      </c>
      <c r="M13">
        <v>1.2</v>
      </c>
      <c r="N13">
        <v>4.3090000000000002</v>
      </c>
      <c r="O13">
        <v>-0.25295109612141198</v>
      </c>
      <c r="P13" s="2">
        <v>4.5977011494252897</v>
      </c>
      <c r="Q13">
        <f t="shared" si="10"/>
        <v>-0.25327155792844969</v>
      </c>
      <c r="R13">
        <f t="shared" si="0"/>
        <v>0.23923456458255313</v>
      </c>
      <c r="S13">
        <f t="shared" si="1"/>
        <v>-3.5349777852046014</v>
      </c>
      <c r="T13">
        <f t="shared" si="2"/>
        <v>0.87032751283016707</v>
      </c>
      <c r="U13">
        <f t="shared" si="3"/>
        <v>-6.3020806130499318</v>
      </c>
      <c r="V13">
        <f t="shared" si="4"/>
        <v>-17.098757423742356</v>
      </c>
      <c r="W13">
        <f t="shared" si="5"/>
        <v>12.836438473642229</v>
      </c>
      <c r="X13">
        <f t="shared" si="6"/>
        <v>6.6213896000875696</v>
      </c>
      <c r="Y13">
        <f t="shared" si="7"/>
        <v>-2.7896446442407568</v>
      </c>
      <c r="Z13">
        <f t="shared" si="8"/>
        <v>0.39559079818511228</v>
      </c>
      <c r="AA13">
        <f t="shared" si="9"/>
        <v>9.1886661748245615</v>
      </c>
      <c r="AB13">
        <f t="shared" si="11"/>
        <v>0</v>
      </c>
      <c r="AC13">
        <f t="shared" si="12"/>
        <v>0.15200000000000014</v>
      </c>
    </row>
    <row r="14" spans="1:29" x14ac:dyDescent="0.2">
      <c r="A14" s="1">
        <v>37652</v>
      </c>
      <c r="B14">
        <v>73.387423935091206</v>
      </c>
      <c r="C14">
        <v>54.846655439999999</v>
      </c>
      <c r="D14">
        <v>61.1</v>
      </c>
      <c r="E14">
        <v>58.7</v>
      </c>
      <c r="F14">
        <v>2733.0070639999999</v>
      </c>
      <c r="G14">
        <v>3142.485095</v>
      </c>
      <c r="H14">
        <v>50926</v>
      </c>
      <c r="I14">
        <v>64874</v>
      </c>
      <c r="J14">
        <v>1056.69</v>
      </c>
      <c r="K14">
        <v>53.563499999999998</v>
      </c>
      <c r="L14">
        <v>8601.6955959799998</v>
      </c>
      <c r="M14">
        <v>1.1599999999999999</v>
      </c>
      <c r="N14">
        <v>4.202</v>
      </c>
      <c r="O14">
        <v>1.94420963651732</v>
      </c>
      <c r="P14" s="2">
        <v>8.6486486486486402</v>
      </c>
      <c r="Q14">
        <f t="shared" si="10"/>
        <v>1.9255513308744043</v>
      </c>
      <c r="R14">
        <f t="shared" si="0"/>
        <v>0</v>
      </c>
      <c r="S14">
        <f t="shared" si="1"/>
        <v>-8.7693086744028363</v>
      </c>
      <c r="T14">
        <f t="shared" si="2"/>
        <v>1.7182553319996963</v>
      </c>
      <c r="U14">
        <f t="shared" si="3"/>
        <v>-6.4037314270870951</v>
      </c>
      <c r="V14">
        <f t="shared" si="4"/>
        <v>8.1546548237769017</v>
      </c>
      <c r="W14">
        <f t="shared" si="5"/>
        <v>-18.410033487652715</v>
      </c>
      <c r="X14">
        <f t="shared" si="6"/>
        <v>-9.5948976646632147</v>
      </c>
      <c r="Y14">
        <f t="shared" si="7"/>
        <v>3.6898793458921859</v>
      </c>
      <c r="Z14">
        <f t="shared" si="8"/>
        <v>8.2179248762651688E-2</v>
      </c>
      <c r="AA14">
        <f t="shared" si="9"/>
        <v>-6.5296018996601273</v>
      </c>
      <c r="AB14">
        <f t="shared" si="11"/>
        <v>-4.0000000000000036E-2</v>
      </c>
      <c r="AC14">
        <f t="shared" si="12"/>
        <v>-0.10700000000000021</v>
      </c>
    </row>
    <row r="15" spans="1:29" x14ac:dyDescent="0.2">
      <c r="A15" s="1">
        <v>37680</v>
      </c>
      <c r="B15">
        <v>75.212981744421896</v>
      </c>
      <c r="C15">
        <v>55.108766090000003</v>
      </c>
      <c r="D15">
        <v>61.2</v>
      </c>
      <c r="E15">
        <v>59.1</v>
      </c>
      <c r="F15">
        <v>2788.6338989999999</v>
      </c>
      <c r="G15">
        <v>3021.4358000000002</v>
      </c>
      <c r="H15">
        <v>50235</v>
      </c>
      <c r="I15">
        <v>67929</v>
      </c>
      <c r="J15">
        <v>1019.33</v>
      </c>
      <c r="K15">
        <v>54.074800000000003</v>
      </c>
      <c r="L15">
        <v>8472.9799931199996</v>
      </c>
      <c r="M15">
        <v>1.18</v>
      </c>
      <c r="N15">
        <v>4.2809999999999997</v>
      </c>
      <c r="O15">
        <v>2.4875621890547199</v>
      </c>
      <c r="P15" s="2">
        <v>11.451758340847601</v>
      </c>
      <c r="Q15">
        <f t="shared" si="10"/>
        <v>2.4571260730506195</v>
      </c>
      <c r="R15">
        <f t="shared" si="0"/>
        <v>0.47675893163220812</v>
      </c>
      <c r="S15">
        <f t="shared" si="1"/>
        <v>0.16353233407308379</v>
      </c>
      <c r="T15">
        <f t="shared" si="2"/>
        <v>0.67911975780017553</v>
      </c>
      <c r="U15">
        <f t="shared" si="3"/>
        <v>2.0149342335990705</v>
      </c>
      <c r="V15">
        <f t="shared" si="4"/>
        <v>-3.9281769562935476</v>
      </c>
      <c r="W15">
        <f t="shared" si="5"/>
        <v>-1.3661603726461646</v>
      </c>
      <c r="X15">
        <f t="shared" si="6"/>
        <v>4.6016114949431</v>
      </c>
      <c r="Y15">
        <f t="shared" si="7"/>
        <v>-3.5995832273972503</v>
      </c>
      <c r="Z15">
        <f t="shared" si="8"/>
        <v>0.95004073034606518</v>
      </c>
      <c r="AA15">
        <f t="shared" si="9"/>
        <v>-1.5077070186274841</v>
      </c>
      <c r="AB15">
        <f t="shared" si="11"/>
        <v>2.0000000000000018E-2</v>
      </c>
      <c r="AC15">
        <f t="shared" si="12"/>
        <v>7.8999999999999737E-2</v>
      </c>
    </row>
    <row r="16" spans="1:29" x14ac:dyDescent="0.2">
      <c r="A16" s="1">
        <v>37711</v>
      </c>
      <c r="B16">
        <v>75.517241379310306</v>
      </c>
      <c r="C16">
        <v>55.174293759999998</v>
      </c>
      <c r="D16">
        <v>67.8</v>
      </c>
      <c r="E16">
        <v>58.9</v>
      </c>
      <c r="F16">
        <v>3128.9810510000002</v>
      </c>
      <c r="G16">
        <v>3694.2181850000002</v>
      </c>
      <c r="H16">
        <v>45448</v>
      </c>
      <c r="I16">
        <v>72685</v>
      </c>
      <c r="J16">
        <v>1039.67</v>
      </c>
      <c r="K16">
        <v>54.590899999999998</v>
      </c>
      <c r="L16">
        <v>8679.7190387699993</v>
      </c>
      <c r="M16">
        <v>1.1200000000000001</v>
      </c>
      <c r="N16">
        <v>4.0019999999999998</v>
      </c>
      <c r="O16">
        <v>0.40453074433657199</v>
      </c>
      <c r="P16" s="2">
        <v>11.4003590664272</v>
      </c>
      <c r="Q16">
        <f t="shared" si="10"/>
        <v>0.40371471869707215</v>
      </c>
      <c r="R16">
        <f t="shared" si="0"/>
        <v>0.11883543637719884</v>
      </c>
      <c r="S16">
        <f t="shared" si="1"/>
        <v>10.241500542806934</v>
      </c>
      <c r="T16">
        <f t="shared" si="2"/>
        <v>-0.33898337545115398</v>
      </c>
      <c r="U16">
        <f t="shared" si="3"/>
        <v>11.515557475596321</v>
      </c>
      <c r="V16">
        <f t="shared" si="4"/>
        <v>20.103679586321029</v>
      </c>
      <c r="W16">
        <f t="shared" si="5"/>
        <v>-10.014317965945189</v>
      </c>
      <c r="X16">
        <f t="shared" si="6"/>
        <v>6.7671993819794052</v>
      </c>
      <c r="Y16">
        <f t="shared" si="7"/>
        <v>1.9757806386005847</v>
      </c>
      <c r="Z16">
        <f t="shared" si="8"/>
        <v>0.94989289282829581</v>
      </c>
      <c r="AA16">
        <f t="shared" si="9"/>
        <v>2.4106883380571662</v>
      </c>
      <c r="AB16">
        <f t="shared" si="11"/>
        <v>-5.9999999999999831E-2</v>
      </c>
      <c r="AC16">
        <f t="shared" si="12"/>
        <v>-0.27899999999999991</v>
      </c>
    </row>
    <row r="17" spans="1:29" x14ac:dyDescent="0.2">
      <c r="A17" s="1">
        <v>37741</v>
      </c>
      <c r="B17">
        <v>74.726166328600399</v>
      </c>
      <c r="C17">
        <v>55.30534909</v>
      </c>
      <c r="D17">
        <v>62.2</v>
      </c>
      <c r="E17">
        <v>58.6</v>
      </c>
      <c r="F17">
        <v>2726.211859</v>
      </c>
      <c r="G17">
        <v>3432.7181380000002</v>
      </c>
      <c r="H17">
        <v>65945</v>
      </c>
      <c r="I17">
        <v>72529</v>
      </c>
      <c r="J17">
        <v>1068.1500000000001</v>
      </c>
      <c r="K17">
        <v>52.806800000000003</v>
      </c>
      <c r="L17">
        <v>8903.2086632800001</v>
      </c>
      <c r="M17">
        <v>1.1100000000000001</v>
      </c>
      <c r="N17">
        <v>4.7770000000000001</v>
      </c>
      <c r="O17">
        <v>-1.0475423045930701</v>
      </c>
      <c r="P17" s="2">
        <v>9.6428571428571299</v>
      </c>
      <c r="Q17">
        <f t="shared" si="10"/>
        <v>-1.0530676497519031</v>
      </c>
      <c r="R17">
        <f t="shared" si="0"/>
        <v>0.23724803609316428</v>
      </c>
      <c r="S17">
        <f t="shared" si="1"/>
        <v>-8.6207195201216056</v>
      </c>
      <c r="T17">
        <f t="shared" si="2"/>
        <v>-0.51063940745740277</v>
      </c>
      <c r="U17">
        <f t="shared" si="3"/>
        <v>-13.779436058384761</v>
      </c>
      <c r="V17">
        <f t="shared" si="4"/>
        <v>-7.3416537326836755</v>
      </c>
      <c r="W17">
        <f t="shared" si="5"/>
        <v>37.225224602302234</v>
      </c>
      <c r="X17">
        <f t="shared" si="6"/>
        <v>-0.2148553996332164</v>
      </c>
      <c r="Y17">
        <f t="shared" si="7"/>
        <v>2.7024825005870388</v>
      </c>
      <c r="Z17">
        <f t="shared" si="8"/>
        <v>-3.3227231895203553</v>
      </c>
      <c r="AA17">
        <f t="shared" si="9"/>
        <v>2.542257638591249</v>
      </c>
      <c r="AB17">
        <f t="shared" si="11"/>
        <v>-1.0000000000000009E-2</v>
      </c>
      <c r="AC17">
        <f t="shared" si="12"/>
        <v>0.77500000000000036</v>
      </c>
    </row>
    <row r="18" spans="1:29" x14ac:dyDescent="0.2">
      <c r="A18" s="1">
        <v>37772</v>
      </c>
      <c r="B18">
        <v>75.0912778904665</v>
      </c>
      <c r="C18">
        <v>55.370876750000001</v>
      </c>
      <c r="D18">
        <v>65.900000000000006</v>
      </c>
      <c r="E18">
        <v>58.8</v>
      </c>
      <c r="F18">
        <v>2827.6603150000001</v>
      </c>
      <c r="G18">
        <v>3609.6501720000001</v>
      </c>
      <c r="H18">
        <v>54871</v>
      </c>
      <c r="I18">
        <v>64767</v>
      </c>
      <c r="J18">
        <v>1073.69</v>
      </c>
      <c r="K18">
        <v>52.507199999999997</v>
      </c>
      <c r="L18">
        <v>8746.5958929299995</v>
      </c>
      <c r="M18">
        <v>1.0900000000000001</v>
      </c>
      <c r="N18">
        <v>5.3650000000000002</v>
      </c>
      <c r="O18">
        <v>0.488599348534207</v>
      </c>
      <c r="P18" s="2">
        <v>9.8842386464826308</v>
      </c>
      <c r="Q18">
        <f t="shared" si="10"/>
        <v>0.48740957582449113</v>
      </c>
      <c r="R18">
        <f t="shared" si="0"/>
        <v>0.11841326745541912</v>
      </c>
      <c r="S18">
        <f t="shared" si="1"/>
        <v>5.7783441763327739</v>
      </c>
      <c r="T18">
        <f t="shared" si="2"/>
        <v>0.34071583216141343</v>
      </c>
      <c r="U18">
        <f t="shared" si="3"/>
        <v>3.6536577741596283</v>
      </c>
      <c r="V18">
        <f t="shared" si="4"/>
        <v>5.0258454980539788</v>
      </c>
      <c r="W18">
        <f t="shared" si="5"/>
        <v>-18.383608547782867</v>
      </c>
      <c r="X18">
        <f t="shared" si="6"/>
        <v>-11.319026749952425</v>
      </c>
      <c r="Y18">
        <f t="shared" si="7"/>
        <v>0.51731337119489396</v>
      </c>
      <c r="Z18">
        <f t="shared" si="8"/>
        <v>-0.56896672470578868</v>
      </c>
      <c r="AA18">
        <f t="shared" si="9"/>
        <v>-1.7747151863475874</v>
      </c>
      <c r="AB18">
        <f t="shared" si="11"/>
        <v>-2.0000000000000018E-2</v>
      </c>
      <c r="AC18">
        <f t="shared" si="12"/>
        <v>0.58800000000000008</v>
      </c>
    </row>
    <row r="19" spans="1:29" x14ac:dyDescent="0.2">
      <c r="A19" s="1">
        <v>37802</v>
      </c>
      <c r="B19">
        <v>74.056795131845803</v>
      </c>
      <c r="C19">
        <v>55.764042740000001</v>
      </c>
      <c r="D19">
        <v>66.400000000000006</v>
      </c>
      <c r="E19">
        <v>59</v>
      </c>
      <c r="F19">
        <v>3060.4700779999998</v>
      </c>
      <c r="G19">
        <v>3175.4603339999999</v>
      </c>
      <c r="H19">
        <v>49040</v>
      </c>
      <c r="I19">
        <v>53257</v>
      </c>
      <c r="J19">
        <v>1222.8</v>
      </c>
      <c r="K19">
        <v>53.3992</v>
      </c>
      <c r="L19">
        <v>8806.1811680699993</v>
      </c>
      <c r="M19">
        <v>0.89</v>
      </c>
      <c r="N19">
        <v>5.3380000000000001</v>
      </c>
      <c r="O19">
        <v>-1.3776337115072901</v>
      </c>
      <c r="P19" s="2">
        <v>4.5532646048109999</v>
      </c>
      <c r="Q19">
        <f t="shared" si="10"/>
        <v>-1.3872111477806108</v>
      </c>
      <c r="R19">
        <f t="shared" si="0"/>
        <v>0.70755012384834393</v>
      </c>
      <c r="S19">
        <f t="shared" si="1"/>
        <v>0.7558614973926624</v>
      </c>
      <c r="T19">
        <f t="shared" si="2"/>
        <v>0.33955890011383288</v>
      </c>
      <c r="U19">
        <f t="shared" si="3"/>
        <v>7.9118898529598303</v>
      </c>
      <c r="V19">
        <f t="shared" si="4"/>
        <v>-12.8158253464356</v>
      </c>
      <c r="W19">
        <f t="shared" si="5"/>
        <v>-11.234868417206354</v>
      </c>
      <c r="X19">
        <f t="shared" si="6"/>
        <v>-19.566696303334012</v>
      </c>
      <c r="Y19">
        <f t="shared" si="7"/>
        <v>13.0041997208487</v>
      </c>
      <c r="Z19">
        <f t="shared" si="8"/>
        <v>1.6845461529021677</v>
      </c>
      <c r="AA19">
        <f t="shared" si="9"/>
        <v>0.6789296509884335</v>
      </c>
      <c r="AB19">
        <f t="shared" si="11"/>
        <v>-0.20000000000000007</v>
      </c>
      <c r="AC19">
        <f t="shared" si="12"/>
        <v>-2.7000000000000135E-2</v>
      </c>
    </row>
    <row r="20" spans="1:29" x14ac:dyDescent="0.2">
      <c r="A20" s="1">
        <v>37833</v>
      </c>
      <c r="B20">
        <v>76.247464503042593</v>
      </c>
      <c r="C20">
        <v>55.764042740000001</v>
      </c>
      <c r="D20">
        <v>66.099999999999994</v>
      </c>
      <c r="E20">
        <v>59.2</v>
      </c>
      <c r="F20">
        <v>3009.4942550000001</v>
      </c>
      <c r="G20">
        <v>3491.6154099999999</v>
      </c>
      <c r="H20">
        <v>51855</v>
      </c>
      <c r="I20">
        <v>67674</v>
      </c>
      <c r="J20">
        <v>1240.42</v>
      </c>
      <c r="K20">
        <v>53.713799999999999</v>
      </c>
      <c r="L20">
        <v>8401.4616902100006</v>
      </c>
      <c r="M20">
        <v>0.94</v>
      </c>
      <c r="N20">
        <v>5.1580000000000004</v>
      </c>
      <c r="O20">
        <v>2.9580936729662999</v>
      </c>
      <c r="P20" s="2">
        <v>8.4848484848484809</v>
      </c>
      <c r="Q20">
        <f t="shared" si="10"/>
        <v>2.9151861908541563</v>
      </c>
      <c r="R20">
        <f t="shared" si="0"/>
        <v>0</v>
      </c>
      <c r="S20">
        <f t="shared" si="1"/>
        <v>-0.45283096247477339</v>
      </c>
      <c r="T20">
        <f t="shared" si="2"/>
        <v>0.33840979842404945</v>
      </c>
      <c r="U20">
        <f t="shared" si="3"/>
        <v>-1.6796481378452681</v>
      </c>
      <c r="V20">
        <f t="shared" si="4"/>
        <v>9.4911888397082596</v>
      </c>
      <c r="W20">
        <f t="shared" si="5"/>
        <v>5.5815070413741683</v>
      </c>
      <c r="X20">
        <f t="shared" si="6"/>
        <v>23.957280753674311</v>
      </c>
      <c r="Y20">
        <f t="shared" si="7"/>
        <v>1.4306720910649156</v>
      </c>
      <c r="Z20">
        <f t="shared" si="8"/>
        <v>0.58741871599850581</v>
      </c>
      <c r="AA20">
        <f t="shared" si="9"/>
        <v>-4.7048178924957984</v>
      </c>
      <c r="AB20">
        <f t="shared" si="11"/>
        <v>4.9999999999999933E-2</v>
      </c>
      <c r="AC20">
        <f t="shared" si="12"/>
        <v>-0.17999999999999972</v>
      </c>
    </row>
    <row r="21" spans="1:29" x14ac:dyDescent="0.2">
      <c r="A21" s="1">
        <v>37864</v>
      </c>
      <c r="B21">
        <v>75.699797160243406</v>
      </c>
      <c r="C21">
        <v>55.895098070000003</v>
      </c>
      <c r="D21">
        <v>65.900000000000006</v>
      </c>
      <c r="E21">
        <v>59.6</v>
      </c>
      <c r="F21">
        <v>3003.2108199999998</v>
      </c>
      <c r="G21">
        <v>3360.1941900000002</v>
      </c>
      <c r="H21">
        <v>51521</v>
      </c>
      <c r="I21">
        <v>69691</v>
      </c>
      <c r="J21">
        <v>1192.83</v>
      </c>
      <c r="K21">
        <v>54.991399999999999</v>
      </c>
      <c r="L21">
        <v>8391.0392156300004</v>
      </c>
      <c r="M21">
        <v>0.96</v>
      </c>
      <c r="N21">
        <v>5.3760000000000003</v>
      </c>
      <c r="O21">
        <v>-0.71827613727055195</v>
      </c>
      <c r="P21" s="2">
        <v>6.3247863247863103</v>
      </c>
      <c r="Q21">
        <f t="shared" si="10"/>
        <v>-0.72086815969435003</v>
      </c>
      <c r="R21">
        <f t="shared" si="0"/>
        <v>0.23474189256630318</v>
      </c>
      <c r="S21">
        <f t="shared" si="1"/>
        <v>-0.30303053491788734</v>
      </c>
      <c r="T21">
        <f t="shared" si="2"/>
        <v>0.67340321813441195</v>
      </c>
      <c r="U21">
        <f t="shared" si="3"/>
        <v>-0.20900533816186564</v>
      </c>
      <c r="V21">
        <f t="shared" si="4"/>
        <v>-3.8365730370815845</v>
      </c>
      <c r="W21">
        <f t="shared" si="5"/>
        <v>-0.64618704960815354</v>
      </c>
      <c r="X21">
        <f t="shared" si="6"/>
        <v>2.9369125722656073</v>
      </c>
      <c r="Y21">
        <f t="shared" si="7"/>
        <v>-3.9121396887646096</v>
      </c>
      <c r="Z21">
        <f t="shared" si="8"/>
        <v>2.3506857629533848</v>
      </c>
      <c r="AA21">
        <f t="shared" si="9"/>
        <v>-0.12413250386900604</v>
      </c>
      <c r="AB21">
        <f t="shared" si="11"/>
        <v>2.0000000000000018E-2</v>
      </c>
      <c r="AC21">
        <f t="shared" si="12"/>
        <v>0.21799999999999997</v>
      </c>
    </row>
    <row r="22" spans="1:29" x14ac:dyDescent="0.2">
      <c r="A22" s="1">
        <v>37894</v>
      </c>
      <c r="B22">
        <v>78.377281947261594</v>
      </c>
      <c r="C22">
        <v>55.895098070000003</v>
      </c>
      <c r="D22">
        <v>63.7</v>
      </c>
      <c r="E22">
        <v>59.6</v>
      </c>
      <c r="F22">
        <v>3353.951</v>
      </c>
      <c r="G22">
        <v>3265.383065</v>
      </c>
      <c r="H22">
        <v>48467</v>
      </c>
      <c r="I22">
        <v>77605</v>
      </c>
      <c r="J22">
        <v>1297.42</v>
      </c>
      <c r="K22">
        <v>55.023499999999999</v>
      </c>
      <c r="L22">
        <v>8462.3252488399994</v>
      </c>
      <c r="M22">
        <v>0.93</v>
      </c>
      <c r="N22">
        <v>5.282</v>
      </c>
      <c r="O22">
        <v>3.5369774919614199</v>
      </c>
      <c r="P22" s="2">
        <v>9.4307561597281193</v>
      </c>
      <c r="Q22">
        <f t="shared" si="10"/>
        <v>3.4758633365173401</v>
      </c>
      <c r="R22">
        <f t="shared" si="0"/>
        <v>0</v>
      </c>
      <c r="S22">
        <f t="shared" si="1"/>
        <v>-3.3953878930343948</v>
      </c>
      <c r="T22">
        <f t="shared" si="2"/>
        <v>0</v>
      </c>
      <c r="U22">
        <f t="shared" si="3"/>
        <v>11.045706420544038</v>
      </c>
      <c r="V22">
        <f t="shared" si="4"/>
        <v>-2.8621686446092345</v>
      </c>
      <c r="W22">
        <f t="shared" si="5"/>
        <v>-6.1106337558864974</v>
      </c>
      <c r="X22">
        <f t="shared" si="6"/>
        <v>10.756067349465701</v>
      </c>
      <c r="Y22">
        <f t="shared" si="7"/>
        <v>8.4049042066733097</v>
      </c>
      <c r="Z22">
        <f t="shared" si="8"/>
        <v>5.8355733470535909E-2</v>
      </c>
      <c r="AA22">
        <f t="shared" si="9"/>
        <v>0.84596115502067259</v>
      </c>
      <c r="AB22">
        <f t="shared" si="11"/>
        <v>-2.9999999999999916E-2</v>
      </c>
      <c r="AC22">
        <f t="shared" si="12"/>
        <v>-9.4000000000000306E-2</v>
      </c>
    </row>
    <row r="23" spans="1:29" x14ac:dyDescent="0.2">
      <c r="A23" s="1">
        <v>37925</v>
      </c>
      <c r="B23">
        <v>78.073022312373197</v>
      </c>
      <c r="C23">
        <v>55.960625739999998</v>
      </c>
      <c r="D23">
        <v>64.8</v>
      </c>
      <c r="E23">
        <v>59.9</v>
      </c>
      <c r="F23">
        <v>3339.9204749999999</v>
      </c>
      <c r="G23">
        <v>3401.221235</v>
      </c>
      <c r="H23">
        <v>56328</v>
      </c>
      <c r="I23">
        <v>77499</v>
      </c>
      <c r="J23">
        <v>1399.07</v>
      </c>
      <c r="K23">
        <v>54.951999999999998</v>
      </c>
      <c r="L23">
        <v>8534.0916691599996</v>
      </c>
      <c r="M23">
        <v>0.94</v>
      </c>
      <c r="N23">
        <v>5.3090000000000002</v>
      </c>
      <c r="O23">
        <v>-0.388198757763977</v>
      </c>
      <c r="P23" s="2">
        <v>8.2700421940928202</v>
      </c>
      <c r="Q23">
        <f t="shared" si="10"/>
        <v>-0.3889542048661988</v>
      </c>
      <c r="R23">
        <f t="shared" si="0"/>
        <v>0.11716463899052229</v>
      </c>
      <c r="S23">
        <f t="shared" si="1"/>
        <v>1.7121040780111352</v>
      </c>
      <c r="T23">
        <f t="shared" si="2"/>
        <v>0.50209310500994442</v>
      </c>
      <c r="U23">
        <f t="shared" si="3"/>
        <v>-0.41920570478025498</v>
      </c>
      <c r="V23">
        <f t="shared" si="4"/>
        <v>4.0757473392866608</v>
      </c>
      <c r="W23">
        <f t="shared" si="5"/>
        <v>15.030859323008109</v>
      </c>
      <c r="X23">
        <f t="shared" si="6"/>
        <v>-0.13668250529004003</v>
      </c>
      <c r="Y23">
        <f t="shared" si="7"/>
        <v>7.5430053047133905</v>
      </c>
      <c r="Z23">
        <f t="shared" si="8"/>
        <v>-0.13002897931643206</v>
      </c>
      <c r="AA23">
        <f t="shared" si="9"/>
        <v>0.84449383866562233</v>
      </c>
      <c r="AB23">
        <f t="shared" si="11"/>
        <v>9.9999999999998979E-3</v>
      </c>
      <c r="AC23">
        <f t="shared" si="12"/>
        <v>2.7000000000000135E-2</v>
      </c>
    </row>
    <row r="24" spans="1:29" x14ac:dyDescent="0.2">
      <c r="A24" s="1">
        <v>37955</v>
      </c>
      <c r="B24">
        <v>77.647058823529406</v>
      </c>
      <c r="C24">
        <v>56.026153399999998</v>
      </c>
      <c r="D24">
        <v>63.8</v>
      </c>
      <c r="E24">
        <v>60.4</v>
      </c>
      <c r="F24">
        <v>3085.4917850000002</v>
      </c>
      <c r="G24">
        <v>3545.748924</v>
      </c>
      <c r="H24">
        <v>57180</v>
      </c>
      <c r="I24">
        <v>65510</v>
      </c>
      <c r="J24">
        <v>1313.87</v>
      </c>
      <c r="K24">
        <v>55.3718</v>
      </c>
      <c r="L24">
        <v>8783.5268557899999</v>
      </c>
      <c r="M24">
        <v>0.91</v>
      </c>
      <c r="N24">
        <v>5.375</v>
      </c>
      <c r="O24">
        <v>-0.54559625876850604</v>
      </c>
      <c r="P24" s="2">
        <v>7.5885328836424897</v>
      </c>
      <c r="Q24">
        <f t="shared" si="10"/>
        <v>-0.54709007109010055</v>
      </c>
      <c r="R24">
        <f t="shared" si="0"/>
        <v>0.11702750624994331</v>
      </c>
      <c r="S24">
        <f t="shared" si="1"/>
        <v>-1.5552413007484771</v>
      </c>
      <c r="T24">
        <f t="shared" si="2"/>
        <v>0.83125998193655648</v>
      </c>
      <c r="U24">
        <f t="shared" si="3"/>
        <v>-7.9235940502880737</v>
      </c>
      <c r="V24">
        <f t="shared" si="4"/>
        <v>4.1614845835944552</v>
      </c>
      <c r="W24">
        <f t="shared" si="5"/>
        <v>1.5012439677333578</v>
      </c>
      <c r="X24">
        <f t="shared" si="6"/>
        <v>-16.806223030646255</v>
      </c>
      <c r="Y24">
        <f t="shared" si="7"/>
        <v>-6.2830749554328467</v>
      </c>
      <c r="Z24">
        <f t="shared" si="8"/>
        <v>0.7610361973555726</v>
      </c>
      <c r="AA24">
        <f t="shared" si="9"/>
        <v>2.8809092645194125</v>
      </c>
      <c r="AB24">
        <f t="shared" si="11"/>
        <v>-2.9999999999999916E-2</v>
      </c>
      <c r="AC24">
        <f t="shared" si="12"/>
        <v>6.5999999999999837E-2</v>
      </c>
    </row>
    <row r="25" spans="1:29" x14ac:dyDescent="0.2">
      <c r="A25" s="1">
        <v>37986</v>
      </c>
      <c r="B25">
        <v>78.012170385395507</v>
      </c>
      <c r="C25">
        <v>56.222736400000002</v>
      </c>
      <c r="D25">
        <v>62.2</v>
      </c>
      <c r="E25">
        <v>60.9</v>
      </c>
      <c r="F25">
        <v>3175.14</v>
      </c>
      <c r="G25">
        <v>3330.3811350000001</v>
      </c>
      <c r="H25">
        <v>57921</v>
      </c>
      <c r="I25">
        <v>85585</v>
      </c>
      <c r="J25">
        <v>1442.37</v>
      </c>
      <c r="K25">
        <v>55.445099999999996</v>
      </c>
      <c r="L25">
        <v>9523.69960412</v>
      </c>
      <c r="M25">
        <v>0.93</v>
      </c>
      <c r="N25">
        <v>5.617</v>
      </c>
      <c r="O25">
        <v>0.47021943573666902</v>
      </c>
      <c r="P25" s="2">
        <v>8.3685545224006592</v>
      </c>
      <c r="Q25">
        <f t="shared" si="10"/>
        <v>0.46911735758797968</v>
      </c>
      <c r="R25">
        <f t="shared" si="0"/>
        <v>0.3502630651055556</v>
      </c>
      <c r="S25">
        <f t="shared" si="1"/>
        <v>-2.5398190605610345</v>
      </c>
      <c r="T25">
        <f t="shared" si="2"/>
        <v>0.82440697750820624</v>
      </c>
      <c r="U25">
        <f t="shared" si="3"/>
        <v>2.8640669538681385</v>
      </c>
      <c r="V25">
        <f t="shared" si="4"/>
        <v>-6.266264733280404</v>
      </c>
      <c r="W25">
        <f t="shared" si="5"/>
        <v>1.2875826227623641</v>
      </c>
      <c r="X25">
        <f t="shared" si="6"/>
        <v>26.730723140384256</v>
      </c>
      <c r="Y25">
        <f t="shared" si="7"/>
        <v>9.33106134047061</v>
      </c>
      <c r="Z25">
        <f t="shared" si="8"/>
        <v>0.1322903107558808</v>
      </c>
      <c r="AA25">
        <f t="shared" si="9"/>
        <v>8.090536819680116</v>
      </c>
      <c r="AB25">
        <f t="shared" si="11"/>
        <v>2.0000000000000018E-2</v>
      </c>
      <c r="AC25">
        <f t="shared" si="12"/>
        <v>0.24199999999999999</v>
      </c>
    </row>
    <row r="26" spans="1:29" x14ac:dyDescent="0.2">
      <c r="A26" s="1">
        <v>38017</v>
      </c>
      <c r="B26">
        <v>81.176470588235304</v>
      </c>
      <c r="C26">
        <v>56.550374720000001</v>
      </c>
      <c r="D26">
        <v>60.8</v>
      </c>
      <c r="E26">
        <v>61.4</v>
      </c>
      <c r="F26">
        <v>2849.3666520000002</v>
      </c>
      <c r="G26">
        <v>3481.404008</v>
      </c>
      <c r="H26">
        <v>53132</v>
      </c>
      <c r="I26">
        <v>69249</v>
      </c>
      <c r="J26">
        <v>1508.3</v>
      </c>
      <c r="K26">
        <v>55.5261</v>
      </c>
      <c r="L26">
        <v>9140.1745061500005</v>
      </c>
      <c r="M26">
        <v>0.9</v>
      </c>
      <c r="N26">
        <v>5.2169999999999996</v>
      </c>
      <c r="O26">
        <v>4.0561622464898601</v>
      </c>
      <c r="P26" s="2">
        <v>10.6135986733001</v>
      </c>
      <c r="Q26">
        <f t="shared" si="10"/>
        <v>3.9760588994954089</v>
      </c>
      <c r="R26">
        <f t="shared" si="0"/>
        <v>0.58105915245672823</v>
      </c>
      <c r="S26">
        <f t="shared" si="1"/>
        <v>-2.2765210773012545</v>
      </c>
      <c r="T26">
        <f t="shared" si="2"/>
        <v>0.81766604372455387</v>
      </c>
      <c r="U26">
        <f t="shared" si="3"/>
        <v>-10.825498364473292</v>
      </c>
      <c r="V26">
        <f t="shared" si="4"/>
        <v>4.4348910598957314</v>
      </c>
      <c r="W26">
        <f t="shared" si="5"/>
        <v>-8.6300629851532431</v>
      </c>
      <c r="X26">
        <f t="shared" si="6"/>
        <v>-21.180132961765683</v>
      </c>
      <c r="Y26">
        <f t="shared" si="7"/>
        <v>4.4695594770279712</v>
      </c>
      <c r="Z26">
        <f t="shared" si="8"/>
        <v>0.14598384875556122</v>
      </c>
      <c r="AA26">
        <f t="shared" si="9"/>
        <v>-4.1103909330225044</v>
      </c>
      <c r="AB26">
        <f t="shared" si="11"/>
        <v>-3.0000000000000027E-2</v>
      </c>
      <c r="AC26">
        <f t="shared" si="12"/>
        <v>-0.40000000000000036</v>
      </c>
    </row>
    <row r="27" spans="1:29" x14ac:dyDescent="0.2">
      <c r="A27" s="1">
        <v>38046</v>
      </c>
      <c r="B27">
        <v>82.271805273833607</v>
      </c>
      <c r="C27">
        <v>56.681430050000003</v>
      </c>
      <c r="D27">
        <v>60.6</v>
      </c>
      <c r="E27">
        <v>62</v>
      </c>
      <c r="F27">
        <v>3004.8100869999998</v>
      </c>
      <c r="G27">
        <v>3313.652857</v>
      </c>
      <c r="H27">
        <v>44612</v>
      </c>
      <c r="I27">
        <v>63062</v>
      </c>
      <c r="J27">
        <v>1483.18</v>
      </c>
      <c r="K27">
        <v>56.069600000000001</v>
      </c>
      <c r="L27">
        <v>8977.9401306100008</v>
      </c>
      <c r="M27">
        <v>0.94</v>
      </c>
      <c r="N27">
        <v>4.9580000000000002</v>
      </c>
      <c r="O27">
        <v>1.3493253373313301</v>
      </c>
      <c r="P27">
        <v>9.3851132686084195</v>
      </c>
      <c r="Q27">
        <f t="shared" si="10"/>
        <v>1.340303012733957</v>
      </c>
      <c r="R27">
        <f t="shared" si="0"/>
        <v>0.23148158556065543</v>
      </c>
      <c r="S27">
        <f t="shared" si="1"/>
        <v>-0.32948958968525377</v>
      </c>
      <c r="T27">
        <f t="shared" si="2"/>
        <v>0.97245498919947804</v>
      </c>
      <c r="U27">
        <f t="shared" si="3"/>
        <v>5.311762477238827</v>
      </c>
      <c r="V27">
        <f t="shared" si="4"/>
        <v>-4.9384499931761994</v>
      </c>
      <c r="W27">
        <f t="shared" si="5"/>
        <v>-17.47765021379664</v>
      </c>
      <c r="X27">
        <f t="shared" si="6"/>
        <v>-9.3590335089794969</v>
      </c>
      <c r="Y27">
        <f t="shared" si="7"/>
        <v>-1.6794757411675167</v>
      </c>
      <c r="Z27">
        <f t="shared" si="8"/>
        <v>0.97405956901655411</v>
      </c>
      <c r="AA27">
        <f t="shared" si="9"/>
        <v>-1.7909005977990449</v>
      </c>
      <c r="AB27">
        <f t="shared" si="11"/>
        <v>3.9999999999999925E-2</v>
      </c>
      <c r="AC27">
        <f t="shared" si="12"/>
        <v>-0.25899999999999945</v>
      </c>
    </row>
    <row r="28" spans="1:29" x14ac:dyDescent="0.2">
      <c r="A28" s="1">
        <v>38077</v>
      </c>
      <c r="B28">
        <v>82.697768762677498</v>
      </c>
      <c r="C28">
        <v>56.878013039999999</v>
      </c>
      <c r="D28">
        <v>62.8</v>
      </c>
      <c r="E28">
        <v>62.7</v>
      </c>
      <c r="F28">
        <v>3361.7477920000001</v>
      </c>
      <c r="G28">
        <v>3921.9927889999999</v>
      </c>
      <c r="H28">
        <v>55168</v>
      </c>
      <c r="I28">
        <v>77448</v>
      </c>
      <c r="J28">
        <v>1424.33</v>
      </c>
      <c r="K28">
        <v>56.302900000000001</v>
      </c>
      <c r="L28">
        <v>9219.42583147</v>
      </c>
      <c r="M28">
        <v>0.93</v>
      </c>
      <c r="N28">
        <v>5.7569999999999997</v>
      </c>
      <c r="O28">
        <v>0.51775147928993603</v>
      </c>
      <c r="P28" s="2">
        <v>9.5084609186140092</v>
      </c>
      <c r="Q28">
        <f t="shared" si="10"/>
        <v>0.51641575482351931</v>
      </c>
      <c r="R28">
        <f t="shared" si="0"/>
        <v>0.34622076512342165</v>
      </c>
      <c r="S28">
        <f t="shared" si="1"/>
        <v>3.5660180398884114</v>
      </c>
      <c r="T28">
        <f t="shared" si="2"/>
        <v>1.1227062593783401</v>
      </c>
      <c r="U28">
        <f t="shared" si="3"/>
        <v>11.224664793248733</v>
      </c>
      <c r="V28">
        <f t="shared" si="4"/>
        <v>16.854872610467641</v>
      </c>
      <c r="W28">
        <f t="shared" si="5"/>
        <v>21.238019390893751</v>
      </c>
      <c r="X28">
        <f t="shared" si="6"/>
        <v>20.548837397759453</v>
      </c>
      <c r="Y28">
        <f t="shared" si="7"/>
        <v>-4.0486903665507308</v>
      </c>
      <c r="Z28">
        <f t="shared" si="8"/>
        <v>0.41522674177398966</v>
      </c>
      <c r="AA28">
        <f t="shared" si="9"/>
        <v>2.6542289502952867</v>
      </c>
      <c r="AB28">
        <f t="shared" si="11"/>
        <v>-9.9999999999998979E-3</v>
      </c>
      <c r="AC28">
        <f t="shared" si="12"/>
        <v>0.79899999999999949</v>
      </c>
    </row>
    <row r="29" spans="1:29" x14ac:dyDescent="0.2">
      <c r="A29" s="1">
        <v>38107</v>
      </c>
      <c r="B29">
        <v>82.636916835699793</v>
      </c>
      <c r="C29">
        <v>57.074596040000003</v>
      </c>
      <c r="D29">
        <v>61</v>
      </c>
      <c r="E29">
        <v>63.2</v>
      </c>
      <c r="F29">
        <v>2982.491297</v>
      </c>
      <c r="G29">
        <v>3764.8043389999998</v>
      </c>
      <c r="H29">
        <v>76453</v>
      </c>
      <c r="I29">
        <v>84277</v>
      </c>
      <c r="J29">
        <v>1555.01</v>
      </c>
      <c r="K29">
        <v>55.9039</v>
      </c>
      <c r="L29">
        <v>9545.6163806999994</v>
      </c>
      <c r="M29">
        <v>0.96</v>
      </c>
      <c r="N29">
        <v>5.4390000000000001</v>
      </c>
      <c r="O29">
        <v>-7.3583517292117304E-2</v>
      </c>
      <c r="P29" s="2">
        <v>10.586319218241</v>
      </c>
      <c r="Q29">
        <f t="shared" si="10"/>
        <v>-7.3610603250253787E-2</v>
      </c>
      <c r="R29">
        <f t="shared" si="0"/>
        <v>0.34502622906574493</v>
      </c>
      <c r="S29">
        <f t="shared" si="1"/>
        <v>-2.9081209300841735</v>
      </c>
      <c r="T29">
        <f t="shared" si="2"/>
        <v>0.79428535139367318</v>
      </c>
      <c r="U29">
        <f t="shared" si="3"/>
        <v>-11.970205795697034</v>
      </c>
      <c r="V29">
        <f t="shared" si="4"/>
        <v>-4.0903997661351701</v>
      </c>
      <c r="W29">
        <f t="shared" si="5"/>
        <v>32.62930978981278</v>
      </c>
      <c r="X29">
        <f t="shared" si="6"/>
        <v>8.4502249251076105</v>
      </c>
      <c r="Y29">
        <f t="shared" si="7"/>
        <v>8.778044876379953</v>
      </c>
      <c r="Z29">
        <f t="shared" si="8"/>
        <v>-0.71118984188771417</v>
      </c>
      <c r="AA29">
        <f t="shared" si="9"/>
        <v>3.4769269998657397</v>
      </c>
      <c r="AB29">
        <f t="shared" si="11"/>
        <v>2.9999999999999916E-2</v>
      </c>
      <c r="AC29">
        <f t="shared" si="12"/>
        <v>-0.31799999999999962</v>
      </c>
    </row>
    <row r="30" spans="1:29" x14ac:dyDescent="0.2">
      <c r="A30" s="1">
        <v>38138</v>
      </c>
      <c r="B30">
        <v>84.705882352941103</v>
      </c>
      <c r="C30">
        <v>57.336706700000001</v>
      </c>
      <c r="D30">
        <v>62</v>
      </c>
      <c r="E30">
        <v>63.7</v>
      </c>
      <c r="F30">
        <v>3267.5498670000002</v>
      </c>
      <c r="G30">
        <v>3583.9971049999999</v>
      </c>
      <c r="H30">
        <v>60630</v>
      </c>
      <c r="I30">
        <v>73312</v>
      </c>
      <c r="J30">
        <v>1511.36</v>
      </c>
      <c r="K30">
        <v>55.845300000000002</v>
      </c>
      <c r="L30">
        <v>9472.8587481300001</v>
      </c>
      <c r="M30">
        <v>1.06</v>
      </c>
      <c r="N30">
        <v>5.5369999999999999</v>
      </c>
      <c r="O30">
        <v>2.5036818851251699</v>
      </c>
      <c r="P30" s="2">
        <v>12.803889789303</v>
      </c>
      <c r="Q30">
        <f t="shared" si="10"/>
        <v>2.4728532775722782</v>
      </c>
      <c r="R30">
        <f t="shared" si="0"/>
        <v>0.45819095191283543</v>
      </c>
      <c r="S30">
        <f t="shared" si="1"/>
        <v>1.6260520871780326</v>
      </c>
      <c r="T30">
        <f t="shared" si="2"/>
        <v>0.78802614253059655</v>
      </c>
      <c r="U30">
        <f t="shared" si="3"/>
        <v>9.1281470950821113</v>
      </c>
      <c r="V30">
        <f t="shared" si="4"/>
        <v>-4.9217204152697445</v>
      </c>
      <c r="W30">
        <f t="shared" si="5"/>
        <v>-23.188635285571628</v>
      </c>
      <c r="X30">
        <f t="shared" si="6"/>
        <v>-13.938468639776138</v>
      </c>
      <c r="Y30">
        <f t="shared" si="7"/>
        <v>-2.8472068753071564</v>
      </c>
      <c r="Z30">
        <f t="shared" si="8"/>
        <v>-0.10487771791000418</v>
      </c>
      <c r="AA30">
        <f t="shared" si="9"/>
        <v>-0.76512955982929309</v>
      </c>
      <c r="AB30">
        <f t="shared" si="11"/>
        <v>0.10000000000000009</v>
      </c>
      <c r="AC30">
        <f t="shared" si="12"/>
        <v>9.7999999999999865E-2</v>
      </c>
    </row>
    <row r="31" spans="1:29" x14ac:dyDescent="0.2">
      <c r="A31" s="1">
        <v>38168</v>
      </c>
      <c r="B31">
        <v>84.827586206896498</v>
      </c>
      <c r="C31">
        <v>58.057511009999999</v>
      </c>
      <c r="D31">
        <v>65.2</v>
      </c>
      <c r="E31">
        <v>64.5</v>
      </c>
      <c r="F31">
        <v>3317.9281150000002</v>
      </c>
      <c r="G31">
        <v>3778.0704179999998</v>
      </c>
      <c r="H31">
        <v>54642</v>
      </c>
      <c r="I31">
        <v>57409</v>
      </c>
      <c r="J31">
        <v>1579.4</v>
      </c>
      <c r="K31">
        <v>55.9848</v>
      </c>
      <c r="L31">
        <v>9264.8039839899993</v>
      </c>
      <c r="M31">
        <v>1.31</v>
      </c>
      <c r="N31">
        <v>6.5860000000000003</v>
      </c>
      <c r="O31">
        <v>0.14367816091954499</v>
      </c>
      <c r="P31" s="2">
        <v>14.543960558750999</v>
      </c>
      <c r="Q31">
        <f t="shared" si="10"/>
        <v>0.14357504261044157</v>
      </c>
      <c r="R31">
        <f t="shared" si="0"/>
        <v>1.2493064199238431</v>
      </c>
      <c r="S31">
        <f t="shared" si="1"/>
        <v>5.0325083887515838</v>
      </c>
      <c r="T31">
        <f t="shared" si="2"/>
        <v>1.2480661223609004</v>
      </c>
      <c r="U31">
        <f t="shared" si="3"/>
        <v>1.5300098459121103</v>
      </c>
      <c r="V31">
        <f t="shared" si="4"/>
        <v>5.2734720512367099</v>
      </c>
      <c r="W31">
        <f t="shared" si="5"/>
        <v>-10.398700226990279</v>
      </c>
      <c r="X31">
        <f t="shared" si="6"/>
        <v>-24.452322081143823</v>
      </c>
      <c r="Y31">
        <f t="shared" si="7"/>
        <v>4.4035120355728425</v>
      </c>
      <c r="Z31">
        <f t="shared" si="8"/>
        <v>0.24948573301396365</v>
      </c>
      <c r="AA31">
        <f t="shared" si="9"/>
        <v>-2.2208032884172875</v>
      </c>
      <c r="AB31">
        <f t="shared" si="11"/>
        <v>0.25</v>
      </c>
      <c r="AC31">
        <f t="shared" si="12"/>
        <v>1.0490000000000004</v>
      </c>
    </row>
    <row r="32" spans="1:29" x14ac:dyDescent="0.2">
      <c r="A32" s="1">
        <v>38199</v>
      </c>
      <c r="B32">
        <v>85.436105476673404</v>
      </c>
      <c r="C32">
        <v>58.843842989999999</v>
      </c>
      <c r="D32">
        <v>62.9</v>
      </c>
      <c r="E32">
        <v>64.900000000000006</v>
      </c>
      <c r="F32">
        <v>3108.8811439999999</v>
      </c>
      <c r="G32">
        <v>3760.7736759999998</v>
      </c>
      <c r="H32">
        <v>59543</v>
      </c>
      <c r="I32">
        <v>78835</v>
      </c>
      <c r="J32">
        <v>1584.7</v>
      </c>
      <c r="K32">
        <v>55.9527</v>
      </c>
      <c r="L32">
        <v>9106.9754525299995</v>
      </c>
      <c r="M32">
        <v>1.42</v>
      </c>
      <c r="N32">
        <v>6.6139999999999999</v>
      </c>
      <c r="O32">
        <v>0.71736011477762196</v>
      </c>
      <c r="P32" s="2">
        <v>12.051077414205899</v>
      </c>
      <c r="Q32">
        <f t="shared" si="10"/>
        <v>0.71479932652875922</v>
      </c>
      <c r="R32">
        <f t="shared" si="0"/>
        <v>1.3453117738549063</v>
      </c>
      <c r="S32">
        <f t="shared" si="1"/>
        <v>-3.5913305226212442</v>
      </c>
      <c r="T32">
        <f t="shared" si="2"/>
        <v>0.61823999083175596</v>
      </c>
      <c r="U32">
        <f t="shared" si="3"/>
        <v>-6.5077625683818159</v>
      </c>
      <c r="V32">
        <f t="shared" si="4"/>
        <v>-0.45887067393005204</v>
      </c>
      <c r="W32">
        <f t="shared" si="5"/>
        <v>8.58959227994748</v>
      </c>
      <c r="X32">
        <f t="shared" si="6"/>
        <v>31.715597522979827</v>
      </c>
      <c r="Y32">
        <f t="shared" si="7"/>
        <v>0.3350086885282027</v>
      </c>
      <c r="Z32">
        <f t="shared" si="8"/>
        <v>-5.73534354080086E-2</v>
      </c>
      <c r="AA32">
        <f t="shared" si="9"/>
        <v>-1.7182049770241576</v>
      </c>
      <c r="AB32">
        <f t="shared" si="11"/>
        <v>0.10999999999999988</v>
      </c>
      <c r="AC32">
        <f t="shared" si="12"/>
        <v>2.7999999999999581E-2</v>
      </c>
    </row>
    <row r="33" spans="1:29" x14ac:dyDescent="0.2">
      <c r="A33" s="1">
        <v>38230</v>
      </c>
      <c r="B33">
        <v>85.436105476673404</v>
      </c>
      <c r="C33">
        <v>59.105953649999996</v>
      </c>
      <c r="D33">
        <v>60.6</v>
      </c>
      <c r="E33">
        <v>65.5</v>
      </c>
      <c r="F33">
        <v>3430.0596270000001</v>
      </c>
      <c r="G33">
        <v>3687.633143</v>
      </c>
      <c r="H33">
        <v>59988</v>
      </c>
      <c r="I33">
        <v>71658</v>
      </c>
      <c r="J33">
        <v>1579.83</v>
      </c>
      <c r="K33">
        <v>55.834200000000003</v>
      </c>
      <c r="L33">
        <v>8992.2453083500004</v>
      </c>
      <c r="M33">
        <v>1.57</v>
      </c>
      <c r="N33">
        <v>6.6360000000000001</v>
      </c>
      <c r="O33">
        <v>0</v>
      </c>
      <c r="P33" s="2">
        <v>12.8617363344051</v>
      </c>
      <c r="Q33">
        <f t="shared" si="10"/>
        <v>0</v>
      </c>
      <c r="R33">
        <f t="shared" si="0"/>
        <v>0.44444517739890971</v>
      </c>
      <c r="S33">
        <f t="shared" si="1"/>
        <v>-3.7251270631126037</v>
      </c>
      <c r="T33">
        <f t="shared" si="2"/>
        <v>0.92025189311619204</v>
      </c>
      <c r="U33">
        <f t="shared" si="3"/>
        <v>9.8314744301756907</v>
      </c>
      <c r="V33">
        <f t="shared" si="4"/>
        <v>-1.9639873538345263</v>
      </c>
      <c r="W33">
        <f t="shared" si="5"/>
        <v>0.74458016062221755</v>
      </c>
      <c r="X33">
        <f t="shared" si="6"/>
        <v>-9.5452258775100223</v>
      </c>
      <c r="Y33">
        <f t="shared" si="7"/>
        <v>-0.30778686532094196</v>
      </c>
      <c r="Z33">
        <f t="shared" si="8"/>
        <v>-0.21201061016386558</v>
      </c>
      <c r="AA33">
        <f t="shared" si="9"/>
        <v>-1.2678079619200047</v>
      </c>
      <c r="AB33">
        <f t="shared" si="11"/>
        <v>0.15000000000000013</v>
      </c>
      <c r="AC33">
        <f t="shared" si="12"/>
        <v>2.2000000000000242E-2</v>
      </c>
    </row>
    <row r="34" spans="1:29" x14ac:dyDescent="0.2">
      <c r="A34" s="1">
        <v>38260</v>
      </c>
      <c r="B34">
        <v>86.166328600405706</v>
      </c>
      <c r="C34">
        <v>59.368064310000001</v>
      </c>
      <c r="D34">
        <v>64.5</v>
      </c>
      <c r="E34">
        <v>65.599999999999994</v>
      </c>
      <c r="F34">
        <v>3641.4258209999998</v>
      </c>
      <c r="G34">
        <v>3816.873705</v>
      </c>
      <c r="H34">
        <v>55884</v>
      </c>
      <c r="I34">
        <v>86709</v>
      </c>
      <c r="J34">
        <v>1761.57</v>
      </c>
      <c r="K34">
        <v>56.213200000000001</v>
      </c>
      <c r="L34">
        <v>9078.3092362099997</v>
      </c>
      <c r="M34">
        <v>1.68</v>
      </c>
      <c r="N34">
        <v>6.3129999999999997</v>
      </c>
      <c r="O34">
        <v>0.854700854700852</v>
      </c>
      <c r="P34" s="2">
        <v>9.9378881987577596</v>
      </c>
      <c r="Q34">
        <f t="shared" si="10"/>
        <v>0.85106896679092714</v>
      </c>
      <c r="R34">
        <f t="shared" si="0"/>
        <v>0.44247859938012074</v>
      </c>
      <c r="S34">
        <f t="shared" si="1"/>
        <v>6.2370330726458088</v>
      </c>
      <c r="T34">
        <f t="shared" si="2"/>
        <v>0.15255533088369702</v>
      </c>
      <c r="U34">
        <f t="shared" si="3"/>
        <v>5.9797669024851601</v>
      </c>
      <c r="V34">
        <f t="shared" si="4"/>
        <v>3.4446858122031578</v>
      </c>
      <c r="W34">
        <f t="shared" si="5"/>
        <v>-7.0866428431193205</v>
      </c>
      <c r="X34">
        <f t="shared" si="6"/>
        <v>19.065288271303128</v>
      </c>
      <c r="Y34">
        <f t="shared" si="7"/>
        <v>10.88882105550986</v>
      </c>
      <c r="Z34">
        <f t="shared" si="8"/>
        <v>0.67650199009662115</v>
      </c>
      <c r="AA34">
        <f t="shared" si="9"/>
        <v>0.95253942964837812</v>
      </c>
      <c r="AB34">
        <f t="shared" si="11"/>
        <v>0.10999999999999988</v>
      </c>
      <c r="AC34">
        <f t="shared" si="12"/>
        <v>-0.3230000000000004</v>
      </c>
    </row>
    <row r="35" spans="1:29" x14ac:dyDescent="0.2">
      <c r="A35" s="1">
        <v>38291</v>
      </c>
      <c r="B35">
        <v>88.417849898580101</v>
      </c>
      <c r="C35">
        <v>59.499119640000004</v>
      </c>
      <c r="D35">
        <v>65.099999999999994</v>
      </c>
      <c r="E35">
        <v>66.099999999999994</v>
      </c>
      <c r="F35">
        <v>3753.4346179999998</v>
      </c>
      <c r="G35">
        <v>4007.9238089999999</v>
      </c>
      <c r="H35">
        <v>60938</v>
      </c>
      <c r="I35">
        <v>66757</v>
      </c>
      <c r="J35">
        <v>1819.03</v>
      </c>
      <c r="K35">
        <v>56.3414</v>
      </c>
      <c r="L35">
        <v>9255.1370653800004</v>
      </c>
      <c r="M35">
        <v>1.87</v>
      </c>
      <c r="N35">
        <v>6.4189999999999996</v>
      </c>
      <c r="O35">
        <v>2.6129943502824799</v>
      </c>
      <c r="P35">
        <v>13.250194855806701</v>
      </c>
      <c r="Q35">
        <f t="shared" si="10"/>
        <v>2.5794389316617368</v>
      </c>
      <c r="R35">
        <f t="shared" si="0"/>
        <v>0.22050725649923236</v>
      </c>
      <c r="S35">
        <f t="shared" si="1"/>
        <v>0.92593254127967262</v>
      </c>
      <c r="T35">
        <f t="shared" si="2"/>
        <v>0.75930509075971964</v>
      </c>
      <c r="U35">
        <f t="shared" si="3"/>
        <v>3.0296004920272583</v>
      </c>
      <c r="V35">
        <f t="shared" si="4"/>
        <v>4.8841668158923071</v>
      </c>
      <c r="W35">
        <f t="shared" si="5"/>
        <v>8.6578840064368716</v>
      </c>
      <c r="X35">
        <f t="shared" si="6"/>
        <v>-26.149852393151974</v>
      </c>
      <c r="Y35">
        <f t="shared" si="7"/>
        <v>3.2097935109809113</v>
      </c>
      <c r="Z35">
        <f t="shared" si="8"/>
        <v>0.22780065042061473</v>
      </c>
      <c r="AA35">
        <f t="shared" si="9"/>
        <v>1.929078798079735</v>
      </c>
      <c r="AB35">
        <f t="shared" si="11"/>
        <v>0.19000000000000017</v>
      </c>
      <c r="AC35">
        <f t="shared" si="12"/>
        <v>0.10599999999999987</v>
      </c>
    </row>
    <row r="36" spans="1:29" x14ac:dyDescent="0.2">
      <c r="A36" s="1">
        <v>38321</v>
      </c>
      <c r="B36">
        <v>88.843813387423893</v>
      </c>
      <c r="C36">
        <v>59.826757960000002</v>
      </c>
      <c r="D36">
        <v>64</v>
      </c>
      <c r="E36">
        <v>66.099999999999994</v>
      </c>
      <c r="F36">
        <v>3685.4058639999998</v>
      </c>
      <c r="G36">
        <v>3657.5795710000002</v>
      </c>
      <c r="H36">
        <v>60798</v>
      </c>
      <c r="I36">
        <v>73292</v>
      </c>
      <c r="J36">
        <v>1830.96</v>
      </c>
      <c r="K36">
        <v>56.322099999999999</v>
      </c>
      <c r="L36">
        <v>9667.1810343599991</v>
      </c>
      <c r="M36">
        <v>2.19</v>
      </c>
      <c r="N36">
        <v>6.4180000000000001</v>
      </c>
      <c r="O36">
        <v>0.48176187198898401</v>
      </c>
      <c r="P36" s="2">
        <v>14.420062695924701</v>
      </c>
      <c r="Q36">
        <f t="shared" si="10"/>
        <v>0.4806051132098953</v>
      </c>
      <c r="R36">
        <f t="shared" si="0"/>
        <v>0.54915019266682585</v>
      </c>
      <c r="S36">
        <f t="shared" si="1"/>
        <v>-1.7041465854851592</v>
      </c>
      <c r="T36">
        <f t="shared" si="2"/>
        <v>0</v>
      </c>
      <c r="U36">
        <f t="shared" si="3"/>
        <v>-1.8290659876099558</v>
      </c>
      <c r="V36">
        <f t="shared" si="4"/>
        <v>-9.1471744625099021</v>
      </c>
      <c r="W36">
        <f t="shared" si="5"/>
        <v>-0.23000601583737071</v>
      </c>
      <c r="X36">
        <f t="shared" si="6"/>
        <v>9.3392301722072126</v>
      </c>
      <c r="Y36">
        <f t="shared" si="7"/>
        <v>0.65370274896226066</v>
      </c>
      <c r="Z36">
        <f t="shared" si="8"/>
        <v>-3.426131833076574E-2</v>
      </c>
      <c r="AA36">
        <f t="shared" si="9"/>
        <v>4.3557994564395237</v>
      </c>
      <c r="AB36">
        <f t="shared" si="11"/>
        <v>0.31999999999999984</v>
      </c>
      <c r="AC36">
        <f t="shared" si="12"/>
        <v>-9.9999999999944578E-4</v>
      </c>
    </row>
    <row r="37" spans="1:29" x14ac:dyDescent="0.2">
      <c r="A37" s="1">
        <v>38352</v>
      </c>
      <c r="B37">
        <v>89.148073022312303</v>
      </c>
      <c r="C37">
        <v>60.219923950000002</v>
      </c>
      <c r="D37">
        <v>62.1</v>
      </c>
      <c r="E37">
        <v>66.7</v>
      </c>
      <c r="F37">
        <v>3277.4195960000002</v>
      </c>
      <c r="G37">
        <v>3264.507024</v>
      </c>
      <c r="H37">
        <v>64930</v>
      </c>
      <c r="I37">
        <v>91767</v>
      </c>
      <c r="J37">
        <v>1822.83</v>
      </c>
      <c r="K37">
        <v>56.1828</v>
      </c>
      <c r="L37">
        <v>9731.5270341600008</v>
      </c>
      <c r="M37">
        <v>2.1800000000000002</v>
      </c>
      <c r="N37">
        <v>6.2409999999999997</v>
      </c>
      <c r="O37">
        <v>0.34246575342465901</v>
      </c>
      <c r="P37" s="2">
        <v>14.2745709828393</v>
      </c>
      <c r="Q37">
        <f t="shared" si="10"/>
        <v>0.34188067487852397</v>
      </c>
      <c r="R37">
        <f t="shared" si="0"/>
        <v>0.65502417809074087</v>
      </c>
      <c r="S37">
        <f t="shared" si="1"/>
        <v>-3.0137094420238753</v>
      </c>
      <c r="T37">
        <f t="shared" si="2"/>
        <v>0.90362060639375197</v>
      </c>
      <c r="U37">
        <f t="shared" si="3"/>
        <v>-11.73242548188786</v>
      </c>
      <c r="V37">
        <f t="shared" si="4"/>
        <v>-11.369284597281807</v>
      </c>
      <c r="W37">
        <f t="shared" si="5"/>
        <v>6.5752872826159923</v>
      </c>
      <c r="X37">
        <f t="shared" si="6"/>
        <v>22.480129345694333</v>
      </c>
      <c r="Y37">
        <f t="shared" si="7"/>
        <v>-0.44501809996091146</v>
      </c>
      <c r="Z37">
        <f t="shared" si="8"/>
        <v>-0.24763378516879653</v>
      </c>
      <c r="AA37">
        <f t="shared" si="9"/>
        <v>0.66340743483075015</v>
      </c>
      <c r="AB37">
        <f t="shared" si="11"/>
        <v>-9.9999999999997868E-3</v>
      </c>
      <c r="AC37">
        <f t="shared" si="12"/>
        <v>-0.17700000000000049</v>
      </c>
    </row>
    <row r="38" spans="1:29" x14ac:dyDescent="0.2">
      <c r="A38" s="1">
        <v>38383</v>
      </c>
      <c r="B38">
        <v>88.052738336714</v>
      </c>
      <c r="C38">
        <v>60.678617600000003</v>
      </c>
      <c r="D38">
        <v>58.1</v>
      </c>
      <c r="E38">
        <v>67.8</v>
      </c>
      <c r="F38">
        <v>3294.3236240000001</v>
      </c>
      <c r="G38">
        <v>3501.3961180000001</v>
      </c>
      <c r="H38">
        <v>64341</v>
      </c>
      <c r="I38">
        <v>80843</v>
      </c>
      <c r="J38">
        <v>2019.56</v>
      </c>
      <c r="K38">
        <v>55.766199999999998</v>
      </c>
      <c r="L38">
        <v>10218.87499916</v>
      </c>
      <c r="M38">
        <v>2.48</v>
      </c>
      <c r="N38">
        <v>5.92</v>
      </c>
      <c r="O38">
        <v>-1.22866894197951</v>
      </c>
      <c r="P38" s="2">
        <v>8.4707646176911595</v>
      </c>
      <c r="Q38">
        <f t="shared" si="10"/>
        <v>-1.236279481968297</v>
      </c>
      <c r="R38">
        <f t="shared" si="0"/>
        <v>0.75881122313139504</v>
      </c>
      <c r="S38">
        <f t="shared" si="1"/>
        <v>-6.6580325081567482</v>
      </c>
      <c r="T38">
        <f t="shared" si="2"/>
        <v>1.6357242024771674</v>
      </c>
      <c r="U38">
        <f t="shared" si="3"/>
        <v>0.51444691964705391</v>
      </c>
      <c r="V38">
        <f t="shared" si="4"/>
        <v>7.0053016543282718</v>
      </c>
      <c r="W38">
        <f t="shared" si="5"/>
        <v>-0.911270239946122</v>
      </c>
      <c r="X38">
        <f t="shared" si="6"/>
        <v>-12.67437536866082</v>
      </c>
      <c r="Y38">
        <f t="shared" si="7"/>
        <v>10.248942743598786</v>
      </c>
      <c r="Z38">
        <f t="shared" si="8"/>
        <v>-0.74427091459587191</v>
      </c>
      <c r="AA38">
        <f t="shared" si="9"/>
        <v>4.8865675654332525</v>
      </c>
      <c r="AB38">
        <f t="shared" si="11"/>
        <v>0.29999999999999982</v>
      </c>
      <c r="AC38">
        <f t="shared" si="12"/>
        <v>-0.32099999999999973</v>
      </c>
    </row>
    <row r="39" spans="1:29" x14ac:dyDescent="0.2">
      <c r="A39" s="1">
        <v>38411</v>
      </c>
      <c r="B39">
        <v>88.722109533468497</v>
      </c>
      <c r="C39">
        <v>60.809672929999998</v>
      </c>
      <c r="D39">
        <v>58.8</v>
      </c>
      <c r="E39">
        <v>68.400000000000006</v>
      </c>
      <c r="F39">
        <v>3000.1646219999998</v>
      </c>
      <c r="G39">
        <v>3211.228572</v>
      </c>
      <c r="H39">
        <v>48709</v>
      </c>
      <c r="I39">
        <v>72260</v>
      </c>
      <c r="J39">
        <v>2079.9899999999998</v>
      </c>
      <c r="K39">
        <v>54.812800000000003</v>
      </c>
      <c r="L39">
        <v>10386.02894849</v>
      </c>
      <c r="M39">
        <v>2.72</v>
      </c>
      <c r="N39">
        <v>5.2839999999999998</v>
      </c>
      <c r="O39">
        <v>0.76019350380096196</v>
      </c>
      <c r="P39" s="2">
        <v>7.8402366863905302</v>
      </c>
      <c r="Q39">
        <f t="shared" si="10"/>
        <v>0.75731859371189147</v>
      </c>
      <c r="R39">
        <f t="shared" si="0"/>
        <v>0.21574981467695517</v>
      </c>
      <c r="S39">
        <f t="shared" si="1"/>
        <v>1.1976191046715621</v>
      </c>
      <c r="T39">
        <f t="shared" si="2"/>
        <v>0.88106296821551267</v>
      </c>
      <c r="U39">
        <f t="shared" si="3"/>
        <v>-9.3533712275793555</v>
      </c>
      <c r="V39">
        <f t="shared" si="4"/>
        <v>-8.6508183187979135</v>
      </c>
      <c r="W39">
        <f t="shared" si="5"/>
        <v>-27.833324617858583</v>
      </c>
      <c r="X39">
        <f t="shared" si="6"/>
        <v>-11.223827646876957</v>
      </c>
      <c r="Y39">
        <f t="shared" si="7"/>
        <v>2.9483420105036493</v>
      </c>
      <c r="Z39">
        <f t="shared" si="8"/>
        <v>-1.7244207767289335</v>
      </c>
      <c r="AA39">
        <f t="shared" si="9"/>
        <v>1.6225032322565756</v>
      </c>
      <c r="AB39">
        <f t="shared" si="11"/>
        <v>0.24000000000000021</v>
      </c>
      <c r="AC39">
        <f t="shared" si="12"/>
        <v>-0.63600000000000012</v>
      </c>
    </row>
    <row r="40" spans="1:29" x14ac:dyDescent="0.2">
      <c r="A40" s="1">
        <v>38442</v>
      </c>
      <c r="B40">
        <v>89.391480730223094</v>
      </c>
      <c r="C40">
        <v>60.94072826</v>
      </c>
      <c r="D40">
        <v>60.8</v>
      </c>
      <c r="E40">
        <v>69.5</v>
      </c>
      <c r="F40">
        <v>3267.5718259999999</v>
      </c>
      <c r="G40">
        <v>3832.0108489999998</v>
      </c>
      <c r="H40">
        <v>58607</v>
      </c>
      <c r="I40">
        <v>82020</v>
      </c>
      <c r="J40">
        <v>1954.69</v>
      </c>
      <c r="K40">
        <v>54.426900000000003</v>
      </c>
      <c r="L40">
        <v>10504.71371084</v>
      </c>
      <c r="M40">
        <v>2.73</v>
      </c>
      <c r="N40">
        <v>5.2729999999999997</v>
      </c>
      <c r="O40">
        <v>0.75445816186556403</v>
      </c>
      <c r="P40" s="2">
        <v>8.0941869021339201</v>
      </c>
      <c r="Q40">
        <f t="shared" si="10"/>
        <v>0.75162636052742726</v>
      </c>
      <c r="R40">
        <f t="shared" si="0"/>
        <v>0.21528533678203365</v>
      </c>
      <c r="S40">
        <f t="shared" si="1"/>
        <v>3.3447934067540124</v>
      </c>
      <c r="T40">
        <f t="shared" si="2"/>
        <v>1.5953927942241684</v>
      </c>
      <c r="U40">
        <f t="shared" si="3"/>
        <v>8.5379987055435542</v>
      </c>
      <c r="V40">
        <f t="shared" si="4"/>
        <v>17.673609463454643</v>
      </c>
      <c r="W40">
        <f t="shared" si="5"/>
        <v>18.499032543148129</v>
      </c>
      <c r="X40">
        <f t="shared" si="6"/>
        <v>12.66923942444191</v>
      </c>
      <c r="Y40">
        <f t="shared" si="7"/>
        <v>-6.2131472920167505</v>
      </c>
      <c r="Z40">
        <f t="shared" si="8"/>
        <v>-0.70652263830790285</v>
      </c>
      <c r="AA40">
        <f t="shared" si="9"/>
        <v>1.1362548589794823</v>
      </c>
      <c r="AB40">
        <f t="shared" si="11"/>
        <v>9.9999999999997868E-3</v>
      </c>
      <c r="AC40">
        <f t="shared" si="12"/>
        <v>-1.1000000000000121E-2</v>
      </c>
    </row>
    <row r="41" spans="1:29" x14ac:dyDescent="0.2">
      <c r="A41" s="1">
        <v>38472</v>
      </c>
      <c r="B41">
        <v>90.486815415821496</v>
      </c>
      <c r="C41">
        <v>61.202838919999998</v>
      </c>
      <c r="D41">
        <v>62.2</v>
      </c>
      <c r="E41">
        <v>70.400000000000006</v>
      </c>
      <c r="F41">
        <v>3245.69652</v>
      </c>
      <c r="G41">
        <v>4112.5559460000004</v>
      </c>
      <c r="H41">
        <v>86705</v>
      </c>
      <c r="I41">
        <v>83366</v>
      </c>
      <c r="J41">
        <v>1854.63</v>
      </c>
      <c r="K41">
        <v>54.491799999999998</v>
      </c>
      <c r="L41">
        <v>10763.03294943</v>
      </c>
      <c r="M41">
        <v>2.84</v>
      </c>
      <c r="N41">
        <v>5.0609999999999999</v>
      </c>
      <c r="O41">
        <v>1.22532334921715</v>
      </c>
      <c r="P41" s="2">
        <v>9.4992636229749507</v>
      </c>
      <c r="Q41">
        <f t="shared" si="10"/>
        <v>1.2178770286278107</v>
      </c>
      <c r="R41">
        <f t="shared" si="0"/>
        <v>0.4291852094893373</v>
      </c>
      <c r="S41">
        <f t="shared" si="1"/>
        <v>2.2765210773012425</v>
      </c>
      <c r="T41">
        <f t="shared" si="2"/>
        <v>1.2866510593250275</v>
      </c>
      <c r="U41">
        <f t="shared" si="3"/>
        <v>-0.67171770269145203</v>
      </c>
      <c r="V41">
        <f t="shared" si="4"/>
        <v>7.0655028626265617</v>
      </c>
      <c r="W41">
        <f t="shared" si="5"/>
        <v>39.165740887668306</v>
      </c>
      <c r="X41">
        <f t="shared" si="6"/>
        <v>1.6277432418296429</v>
      </c>
      <c r="Y41">
        <f t="shared" si="7"/>
        <v>-5.2546397841211911</v>
      </c>
      <c r="Z41">
        <f t="shared" si="8"/>
        <v>0.11917146951042412</v>
      </c>
      <c r="AA41">
        <f t="shared" si="9"/>
        <v>2.4293306369846746</v>
      </c>
      <c r="AB41">
        <f t="shared" si="11"/>
        <v>0.10999999999999988</v>
      </c>
      <c r="AC41">
        <f t="shared" si="12"/>
        <v>-0.21199999999999974</v>
      </c>
    </row>
    <row r="42" spans="1:29" x14ac:dyDescent="0.2">
      <c r="A42" s="1">
        <v>38503</v>
      </c>
      <c r="B42">
        <v>92.738336713995906</v>
      </c>
      <c r="C42">
        <v>61.530477240000003</v>
      </c>
      <c r="D42">
        <v>62.7</v>
      </c>
      <c r="E42">
        <v>70.599999999999994</v>
      </c>
      <c r="F42">
        <v>3304.9942759999999</v>
      </c>
      <c r="G42">
        <v>3797.998517</v>
      </c>
      <c r="H42">
        <v>68404</v>
      </c>
      <c r="I42">
        <v>76034</v>
      </c>
      <c r="J42">
        <v>1929.38</v>
      </c>
      <c r="K42">
        <v>54.341099999999997</v>
      </c>
      <c r="L42">
        <v>10794.430963340001</v>
      </c>
      <c r="M42">
        <v>2.93</v>
      </c>
      <c r="N42">
        <v>4.8639999999999999</v>
      </c>
      <c r="O42">
        <v>2.4882313382649599</v>
      </c>
      <c r="P42" s="2">
        <v>9.4827586206896495</v>
      </c>
      <c r="Q42">
        <f t="shared" si="10"/>
        <v>2.4577789786436122</v>
      </c>
      <c r="R42">
        <f t="shared" si="0"/>
        <v>0.53390409146904583</v>
      </c>
      <c r="S42">
        <f t="shared" si="1"/>
        <v>0.8006447893741282</v>
      </c>
      <c r="T42">
        <f t="shared" si="2"/>
        <v>0.28368813351995353</v>
      </c>
      <c r="U42">
        <f t="shared" si="3"/>
        <v>1.8104770189710622</v>
      </c>
      <c r="V42">
        <f t="shared" si="4"/>
        <v>-7.9570497968185672</v>
      </c>
      <c r="W42">
        <f t="shared" si="5"/>
        <v>-23.708024979970528</v>
      </c>
      <c r="X42">
        <f t="shared" si="6"/>
        <v>-9.2059943714242785</v>
      </c>
      <c r="Y42">
        <f t="shared" si="7"/>
        <v>3.9513492535742101</v>
      </c>
      <c r="Z42">
        <f t="shared" si="8"/>
        <v>-0.2769384925257678</v>
      </c>
      <c r="AA42">
        <f t="shared" si="9"/>
        <v>0.29129619549839608</v>
      </c>
      <c r="AB42">
        <f t="shared" si="11"/>
        <v>9.0000000000000302E-2</v>
      </c>
      <c r="AC42">
        <f t="shared" si="12"/>
        <v>-0.19700000000000006</v>
      </c>
    </row>
    <row r="43" spans="1:29" x14ac:dyDescent="0.2">
      <c r="A43" s="1">
        <v>38533</v>
      </c>
      <c r="B43">
        <v>92.068965517241395</v>
      </c>
      <c r="C43">
        <v>61.923643230000003</v>
      </c>
      <c r="D43">
        <v>63.5</v>
      </c>
      <c r="E43">
        <v>71.5</v>
      </c>
      <c r="F43">
        <v>3358.5736830000001</v>
      </c>
      <c r="G43">
        <v>4210.2631899999997</v>
      </c>
      <c r="H43">
        <v>62244</v>
      </c>
      <c r="I43">
        <v>61998</v>
      </c>
      <c r="J43">
        <v>1924.23</v>
      </c>
      <c r="K43">
        <v>55.179000000000002</v>
      </c>
      <c r="L43">
        <v>10477.728492959999</v>
      </c>
      <c r="M43">
        <v>3.06</v>
      </c>
      <c r="N43">
        <v>4.7409999999999997</v>
      </c>
      <c r="O43">
        <v>-0.72178477690288201</v>
      </c>
      <c r="P43">
        <v>8.5365853658536608</v>
      </c>
      <c r="Q43">
        <f t="shared" si="10"/>
        <v>-0.72440224582351298</v>
      </c>
      <c r="R43">
        <f t="shared" si="0"/>
        <v>0.63694483056016016</v>
      </c>
      <c r="S43">
        <f t="shared" si="1"/>
        <v>1.2678458259770871</v>
      </c>
      <c r="T43">
        <f t="shared" si="2"/>
        <v>1.2667305200765635</v>
      </c>
      <c r="U43">
        <f t="shared" si="3"/>
        <v>1.6081643361899198</v>
      </c>
      <c r="V43">
        <f t="shared" si="4"/>
        <v>10.305093925836099</v>
      </c>
      <c r="W43">
        <f t="shared" si="5"/>
        <v>-9.4369157293543928</v>
      </c>
      <c r="X43">
        <f t="shared" si="6"/>
        <v>-20.407848220769402</v>
      </c>
      <c r="Y43">
        <f t="shared" si="7"/>
        <v>-0.26728200653165729</v>
      </c>
      <c r="Z43">
        <f t="shared" si="8"/>
        <v>1.5301599408474051</v>
      </c>
      <c r="AA43">
        <f t="shared" si="9"/>
        <v>-2.9778441048663944</v>
      </c>
      <c r="AB43">
        <f t="shared" si="11"/>
        <v>0.12999999999999989</v>
      </c>
      <c r="AC43">
        <f t="shared" si="12"/>
        <v>-0.12300000000000022</v>
      </c>
    </row>
    <row r="44" spans="1:29" x14ac:dyDescent="0.2">
      <c r="A44" s="1">
        <v>38564</v>
      </c>
      <c r="B44">
        <v>92.616632860040497</v>
      </c>
      <c r="C44">
        <v>62.382336889999998</v>
      </c>
      <c r="D44">
        <v>64.5</v>
      </c>
      <c r="E44">
        <v>72.3</v>
      </c>
      <c r="F44">
        <v>3503.0703709999998</v>
      </c>
      <c r="G44">
        <v>3832.9869910000002</v>
      </c>
      <c r="H44">
        <v>66176</v>
      </c>
      <c r="I44">
        <v>81237</v>
      </c>
      <c r="J44">
        <v>2000.25</v>
      </c>
      <c r="K44">
        <v>56.0062</v>
      </c>
      <c r="L44">
        <v>10435.73062101</v>
      </c>
      <c r="M44">
        <v>3.34</v>
      </c>
      <c r="N44">
        <v>4.9610000000000003</v>
      </c>
      <c r="O44">
        <v>0.59484467944481301</v>
      </c>
      <c r="P44" s="2">
        <v>8.4045584045584008</v>
      </c>
      <c r="Q44">
        <f t="shared" si="10"/>
        <v>0.59308246332741776</v>
      </c>
      <c r="R44">
        <f t="shared" si="0"/>
        <v>0.73801074009279855</v>
      </c>
      <c r="S44">
        <f t="shared" si="1"/>
        <v>1.5625317903080815</v>
      </c>
      <c r="T44">
        <f t="shared" si="2"/>
        <v>1.1126679464757052</v>
      </c>
      <c r="U44">
        <f t="shared" si="3"/>
        <v>4.2123448051899999</v>
      </c>
      <c r="V44">
        <f t="shared" si="4"/>
        <v>-9.3880768734352351</v>
      </c>
      <c r="W44">
        <f t="shared" si="5"/>
        <v>6.1255714288645802</v>
      </c>
      <c r="X44">
        <f t="shared" si="6"/>
        <v>27.026868194820842</v>
      </c>
      <c r="Y44">
        <f t="shared" si="7"/>
        <v>3.8746285029688514</v>
      </c>
      <c r="Z44">
        <f t="shared" si="8"/>
        <v>1.4879952775719003</v>
      </c>
      <c r="AA44">
        <f t="shared" si="9"/>
        <v>-0.40163540786918156</v>
      </c>
      <c r="AB44">
        <f t="shared" si="11"/>
        <v>0.2799999999999998</v>
      </c>
      <c r="AC44">
        <f t="shared" si="12"/>
        <v>0.22000000000000064</v>
      </c>
    </row>
    <row r="45" spans="1:29" x14ac:dyDescent="0.2">
      <c r="A45" s="1">
        <v>38595</v>
      </c>
      <c r="B45">
        <v>93.042596348884402</v>
      </c>
      <c r="C45">
        <v>62.709975210000003</v>
      </c>
      <c r="D45">
        <v>65.400000000000006</v>
      </c>
      <c r="E45">
        <v>73.400000000000006</v>
      </c>
      <c r="F45">
        <v>3512.6408409999999</v>
      </c>
      <c r="G45">
        <v>4238.8738999999996</v>
      </c>
      <c r="H45">
        <v>81755</v>
      </c>
      <c r="I45">
        <v>80004</v>
      </c>
      <c r="J45">
        <v>1936.9</v>
      </c>
      <c r="K45">
        <v>55.952300000000001</v>
      </c>
      <c r="L45">
        <v>10448.924375459999</v>
      </c>
      <c r="M45">
        <v>3.44</v>
      </c>
      <c r="N45">
        <v>4.8719999999999999</v>
      </c>
      <c r="O45">
        <v>0.45992115637318898</v>
      </c>
      <c r="P45" s="2">
        <v>8.9031339031338899</v>
      </c>
      <c r="Q45">
        <f t="shared" si="10"/>
        <v>0.45886675074322153</v>
      </c>
      <c r="R45">
        <f t="shared" si="0"/>
        <v>0.52383565977698776</v>
      </c>
      <c r="S45">
        <f t="shared" si="1"/>
        <v>1.3857034661426282</v>
      </c>
      <c r="T45">
        <f t="shared" si="2"/>
        <v>1.5099806455751061</v>
      </c>
      <c r="U45">
        <f t="shared" si="3"/>
        <v>0.27282981432305003</v>
      </c>
      <c r="V45">
        <f t="shared" si="4"/>
        <v>10.065325190069615</v>
      </c>
      <c r="W45">
        <f t="shared" si="5"/>
        <v>21.140911054064052</v>
      </c>
      <c r="X45">
        <f t="shared" si="6"/>
        <v>-1.5294174984558053</v>
      </c>
      <c r="Y45">
        <f t="shared" si="7"/>
        <v>-3.2183415882039759</v>
      </c>
      <c r="Z45">
        <f t="shared" si="8"/>
        <v>-9.6285684721027567E-2</v>
      </c>
      <c r="AA45">
        <f t="shared" si="9"/>
        <v>0.12634880688659103</v>
      </c>
      <c r="AB45">
        <f t="shared" si="11"/>
        <v>0.10000000000000009</v>
      </c>
      <c r="AC45">
        <f t="shared" si="12"/>
        <v>-8.9000000000000412E-2</v>
      </c>
    </row>
    <row r="46" spans="1:29" x14ac:dyDescent="0.2">
      <c r="A46" s="1">
        <v>38625</v>
      </c>
      <c r="B46">
        <v>97.423935091277897</v>
      </c>
      <c r="C46">
        <v>62.90655821</v>
      </c>
      <c r="D46">
        <v>62.6</v>
      </c>
      <c r="E46">
        <v>73.7</v>
      </c>
      <c r="F46">
        <v>3674.9314880000002</v>
      </c>
      <c r="G46">
        <v>4337.2020460000003</v>
      </c>
      <c r="H46">
        <v>61827</v>
      </c>
      <c r="I46">
        <v>89484</v>
      </c>
      <c r="J46">
        <v>1942.07</v>
      </c>
      <c r="K46">
        <v>56.156199999999998</v>
      </c>
      <c r="L46">
        <v>10450.78718583</v>
      </c>
      <c r="M46">
        <v>3.47</v>
      </c>
      <c r="N46">
        <v>4.9969999999999999</v>
      </c>
      <c r="O46">
        <v>4.7089601046435501</v>
      </c>
      <c r="P46" s="2">
        <v>13.064971751412401</v>
      </c>
      <c r="Q46">
        <f t="shared" si="10"/>
        <v>4.6014507067652266</v>
      </c>
      <c r="R46">
        <f t="shared" si="0"/>
        <v>0.31298930981279194</v>
      </c>
      <c r="S46">
        <f t="shared" si="1"/>
        <v>-4.3756980357100215</v>
      </c>
      <c r="T46">
        <f t="shared" si="2"/>
        <v>0.40788635748210278</v>
      </c>
      <c r="U46">
        <f t="shared" si="3"/>
        <v>4.5166358832085676</v>
      </c>
      <c r="V46">
        <f t="shared" si="4"/>
        <v>2.2931806002638822</v>
      </c>
      <c r="W46">
        <f t="shared" si="5"/>
        <v>-27.938680772906864</v>
      </c>
      <c r="X46">
        <f t="shared" si="6"/>
        <v>11.198320492573474</v>
      </c>
      <c r="Y46">
        <f t="shared" si="7"/>
        <v>0.26656576675690224</v>
      </c>
      <c r="Z46">
        <f t="shared" si="8"/>
        <v>0.36375515653132623</v>
      </c>
      <c r="AA46">
        <f t="shared" si="9"/>
        <v>1.7826182619511362E-2</v>
      </c>
      <c r="AB46">
        <f t="shared" si="11"/>
        <v>3.0000000000000249E-2</v>
      </c>
      <c r="AC46">
        <f t="shared" si="12"/>
        <v>0.125</v>
      </c>
    </row>
    <row r="47" spans="1:29" x14ac:dyDescent="0.2">
      <c r="A47" s="1">
        <v>38656</v>
      </c>
      <c r="B47">
        <v>95.841784989857999</v>
      </c>
      <c r="C47">
        <v>63.168668859999997</v>
      </c>
      <c r="D47">
        <v>68.5</v>
      </c>
      <c r="E47">
        <v>74</v>
      </c>
      <c r="F47">
        <v>3634.5253590000002</v>
      </c>
      <c r="G47">
        <v>4159.1238329999996</v>
      </c>
      <c r="H47">
        <v>72295</v>
      </c>
      <c r="I47">
        <v>79359</v>
      </c>
      <c r="J47">
        <v>1960.22</v>
      </c>
      <c r="K47">
        <v>55.707700000000003</v>
      </c>
      <c r="L47">
        <v>10878.103663510001</v>
      </c>
      <c r="M47">
        <v>3.89</v>
      </c>
      <c r="N47">
        <v>5.4029999999999996</v>
      </c>
      <c r="O47">
        <v>-1.6239850093691399</v>
      </c>
      <c r="P47" s="2">
        <v>8.3964211975223595</v>
      </c>
      <c r="Q47">
        <f t="shared" si="10"/>
        <v>-1.6373161736981476</v>
      </c>
      <c r="R47">
        <f t="shared" si="0"/>
        <v>0.41580100028899386</v>
      </c>
      <c r="S47">
        <f t="shared" si="1"/>
        <v>9.0068467162126709</v>
      </c>
      <c r="T47">
        <f t="shared" si="2"/>
        <v>0.40622940088787052</v>
      </c>
      <c r="U47">
        <f t="shared" si="3"/>
        <v>-1.1055962550855329</v>
      </c>
      <c r="V47">
        <f t="shared" si="4"/>
        <v>-4.1925015325719102</v>
      </c>
      <c r="W47">
        <f t="shared" si="5"/>
        <v>15.641480822260858</v>
      </c>
      <c r="X47">
        <f t="shared" si="6"/>
        <v>-12.007797625888314</v>
      </c>
      <c r="Y47">
        <f t="shared" si="7"/>
        <v>0.93022973077722371</v>
      </c>
      <c r="Z47">
        <f t="shared" si="8"/>
        <v>-0.80187156571954921</v>
      </c>
      <c r="AA47">
        <f t="shared" si="9"/>
        <v>4.0074626241966183</v>
      </c>
      <c r="AB47">
        <f t="shared" si="11"/>
        <v>0.41999999999999993</v>
      </c>
      <c r="AC47">
        <f t="shared" si="12"/>
        <v>0.40599999999999969</v>
      </c>
    </row>
    <row r="48" spans="1:29" x14ac:dyDescent="0.2">
      <c r="A48" s="1">
        <v>38686</v>
      </c>
      <c r="B48">
        <v>93.833671399594294</v>
      </c>
      <c r="C48">
        <v>63.561834849999997</v>
      </c>
      <c r="D48">
        <v>68.2</v>
      </c>
      <c r="E48">
        <v>73.900000000000006</v>
      </c>
      <c r="F48">
        <v>3631.0079059999998</v>
      </c>
      <c r="G48">
        <v>3975.165387</v>
      </c>
      <c r="H48">
        <v>72987</v>
      </c>
      <c r="I48">
        <v>80276</v>
      </c>
      <c r="J48">
        <v>2099.7399999999998</v>
      </c>
      <c r="K48">
        <v>54.560600000000001</v>
      </c>
      <c r="L48">
        <v>11225.200205720001</v>
      </c>
      <c r="M48">
        <v>3.86</v>
      </c>
      <c r="N48">
        <v>5.556</v>
      </c>
      <c r="O48">
        <v>-2.09523809523809</v>
      </c>
      <c r="P48" s="2">
        <v>5.6164383561643803</v>
      </c>
      <c r="Q48">
        <f t="shared" si="10"/>
        <v>-2.1174997136458744</v>
      </c>
      <c r="R48">
        <f t="shared" si="0"/>
        <v>0.6204776906467212</v>
      </c>
      <c r="S48">
        <f t="shared" si="1"/>
        <v>-0.43891804187630956</v>
      </c>
      <c r="T48">
        <f t="shared" si="2"/>
        <v>-0.13522652500135385</v>
      </c>
      <c r="U48">
        <f t="shared" si="3"/>
        <v>-9.6825742764198072E-2</v>
      </c>
      <c r="V48">
        <f t="shared" si="4"/>
        <v>-4.5238080989765415</v>
      </c>
      <c r="W48">
        <f t="shared" si="5"/>
        <v>0.95263726180043995</v>
      </c>
      <c r="X48">
        <f t="shared" si="6"/>
        <v>1.1488834985661722</v>
      </c>
      <c r="Y48">
        <f t="shared" si="7"/>
        <v>6.8756815699138132</v>
      </c>
      <c r="Z48">
        <f t="shared" si="8"/>
        <v>-2.080636741120895</v>
      </c>
      <c r="AA48">
        <f t="shared" si="9"/>
        <v>3.140933856487476</v>
      </c>
      <c r="AB48">
        <f t="shared" si="11"/>
        <v>-3.0000000000000249E-2</v>
      </c>
      <c r="AC48">
        <f t="shared" si="12"/>
        <v>0.15300000000000047</v>
      </c>
    </row>
    <row r="49" spans="1:29" x14ac:dyDescent="0.2">
      <c r="A49" s="1">
        <v>38717</v>
      </c>
      <c r="B49">
        <v>99.918864097363098</v>
      </c>
      <c r="C49">
        <v>63.758417850000001</v>
      </c>
      <c r="D49">
        <v>64</v>
      </c>
      <c r="E49">
        <v>74.5</v>
      </c>
      <c r="F49">
        <v>3827.182953</v>
      </c>
      <c r="G49">
        <v>4209.3772049999998</v>
      </c>
      <c r="H49">
        <v>72109</v>
      </c>
      <c r="I49">
        <v>96056</v>
      </c>
      <c r="J49">
        <v>2096.04</v>
      </c>
      <c r="K49">
        <v>53.611800000000002</v>
      </c>
      <c r="L49">
        <v>11978.52369797</v>
      </c>
      <c r="M49">
        <v>3.99</v>
      </c>
      <c r="N49">
        <v>5.5780000000000003</v>
      </c>
      <c r="O49">
        <v>6.4850843060959704</v>
      </c>
      <c r="P49" s="2">
        <v>12.081911262798601</v>
      </c>
      <c r="Q49">
        <f t="shared" si="10"/>
        <v>6.2834735889099145</v>
      </c>
      <c r="R49">
        <f t="shared" si="0"/>
        <v>0.30880107766992915</v>
      </c>
      <c r="S49">
        <f t="shared" si="1"/>
        <v>-6.3561481489744622</v>
      </c>
      <c r="T49">
        <f t="shared" si="2"/>
        <v>0.80862974313576208</v>
      </c>
      <c r="U49">
        <f t="shared" si="3"/>
        <v>5.2618741362613903</v>
      </c>
      <c r="V49">
        <f t="shared" si="4"/>
        <v>5.7248350413980091</v>
      </c>
      <c r="W49">
        <f t="shared" si="5"/>
        <v>-1.2102479967705038</v>
      </c>
      <c r="X49">
        <f t="shared" si="6"/>
        <v>17.946065765198014</v>
      </c>
      <c r="Y49">
        <f t="shared" si="7"/>
        <v>-0.1763677294371217</v>
      </c>
      <c r="Z49">
        <f t="shared" si="8"/>
        <v>-1.7542817440991307</v>
      </c>
      <c r="AA49">
        <f t="shared" si="9"/>
        <v>6.4954085372222155</v>
      </c>
      <c r="AB49">
        <f t="shared" si="11"/>
        <v>0.13000000000000034</v>
      </c>
      <c r="AC49">
        <f t="shared" si="12"/>
        <v>2.2000000000000242E-2</v>
      </c>
    </row>
    <row r="50" spans="1:29" x14ac:dyDescent="0.2">
      <c r="A50" s="1">
        <v>38748</v>
      </c>
      <c r="B50">
        <v>100.52738336714</v>
      </c>
      <c r="C50">
        <v>64.282639169999996</v>
      </c>
      <c r="D50">
        <v>56.3</v>
      </c>
      <c r="E50">
        <v>75.400000000000006</v>
      </c>
      <c r="F50">
        <v>3532.7494419999998</v>
      </c>
      <c r="G50">
        <v>3707.1829889999999</v>
      </c>
      <c r="H50">
        <v>72633</v>
      </c>
      <c r="I50">
        <v>88078</v>
      </c>
      <c r="J50">
        <v>2145.39</v>
      </c>
      <c r="K50">
        <v>52.617100000000001</v>
      </c>
      <c r="L50">
        <v>11684.283137529999</v>
      </c>
      <c r="M50">
        <v>4.37</v>
      </c>
      <c r="N50">
        <v>5.298</v>
      </c>
      <c r="O50" s="2">
        <v>0.60901339829478596</v>
      </c>
      <c r="P50">
        <v>14.1672425708362</v>
      </c>
      <c r="Q50">
        <f t="shared" si="10"/>
        <v>0.60716640685502155</v>
      </c>
      <c r="R50">
        <f t="shared" si="0"/>
        <v>0.81883774042992952</v>
      </c>
      <c r="S50">
        <f t="shared" si="1"/>
        <v>-12.81885482140272</v>
      </c>
      <c r="T50">
        <f t="shared" si="2"/>
        <v>1.2008149628396561</v>
      </c>
      <c r="U50">
        <f t="shared" si="3"/>
        <v>-8.0052564623949571</v>
      </c>
      <c r="V50">
        <f t="shared" si="4"/>
        <v>-12.704241840006802</v>
      </c>
      <c r="W50">
        <f t="shared" si="5"/>
        <v>0.72405008804159021</v>
      </c>
      <c r="X50">
        <f t="shared" si="6"/>
        <v>-8.6708569202127865</v>
      </c>
      <c r="Y50">
        <f t="shared" si="7"/>
        <v>2.3271503788711225</v>
      </c>
      <c r="Z50">
        <f t="shared" si="8"/>
        <v>-1.872803113244637</v>
      </c>
      <c r="AA50">
        <f t="shared" si="9"/>
        <v>-2.4870737380554955</v>
      </c>
      <c r="AB50">
        <f t="shared" si="11"/>
        <v>0.37999999999999989</v>
      </c>
      <c r="AC50">
        <f t="shared" si="12"/>
        <v>-0.28000000000000025</v>
      </c>
    </row>
    <row r="51" spans="1:29" x14ac:dyDescent="0.2">
      <c r="A51" s="1">
        <v>38776</v>
      </c>
      <c r="B51">
        <v>101.196754563894</v>
      </c>
      <c r="C51">
        <v>64.741332819999997</v>
      </c>
      <c r="D51">
        <v>56.4</v>
      </c>
      <c r="E51">
        <v>76.099999999999994</v>
      </c>
      <c r="F51">
        <v>3448.3038959999999</v>
      </c>
      <c r="G51">
        <v>3415.2513469999999</v>
      </c>
      <c r="H51">
        <v>64290</v>
      </c>
      <c r="I51">
        <v>89248</v>
      </c>
      <c r="J51">
        <v>2122.96</v>
      </c>
      <c r="K51">
        <v>51.816800000000001</v>
      </c>
      <c r="L51">
        <v>11769.96761009</v>
      </c>
      <c r="M51">
        <v>4.51</v>
      </c>
      <c r="N51">
        <v>5.2649999999999997</v>
      </c>
      <c r="O51" s="2">
        <v>0.66585956416458503</v>
      </c>
      <c r="P51">
        <v>14.0603566529491</v>
      </c>
      <c r="Q51">
        <f t="shared" si="10"/>
        <v>0.66365251119988011</v>
      </c>
      <c r="R51">
        <f t="shared" si="0"/>
        <v>0.71102381267665515</v>
      </c>
      <c r="S51">
        <f t="shared" si="1"/>
        <v>0.17746233583684795</v>
      </c>
      <c r="T51">
        <f t="shared" si="2"/>
        <v>0.92409898537296542</v>
      </c>
      <c r="U51">
        <f t="shared" si="3"/>
        <v>-2.4193960721530612</v>
      </c>
      <c r="V51">
        <f t="shared" si="4"/>
        <v>-8.2021194854302557</v>
      </c>
      <c r="W51">
        <f t="shared" si="5"/>
        <v>-12.201526585720947</v>
      </c>
      <c r="X51">
        <f t="shared" si="6"/>
        <v>1.3196225918789442</v>
      </c>
      <c r="Y51">
        <f t="shared" si="7"/>
        <v>-1.0510012753620357</v>
      </c>
      <c r="Z51">
        <f t="shared" si="8"/>
        <v>-1.5326740960753509</v>
      </c>
      <c r="AA51">
        <f t="shared" si="9"/>
        <v>0.73065522045882381</v>
      </c>
      <c r="AB51">
        <f t="shared" si="11"/>
        <v>0.13999999999999968</v>
      </c>
      <c r="AC51">
        <f t="shared" si="12"/>
        <v>-3.3000000000000362E-2</v>
      </c>
    </row>
    <row r="52" spans="1:29" x14ac:dyDescent="0.2">
      <c r="A52" s="1">
        <v>38807</v>
      </c>
      <c r="B52">
        <v>101.74442190669301</v>
      </c>
      <c r="C52">
        <v>64.937915810000007</v>
      </c>
      <c r="D52">
        <v>61.3</v>
      </c>
      <c r="E52">
        <v>76.2</v>
      </c>
      <c r="F52">
        <v>4173.5976069999997</v>
      </c>
      <c r="G52">
        <v>4226.6047840000001</v>
      </c>
      <c r="H52">
        <v>68074</v>
      </c>
      <c r="I52">
        <v>95281</v>
      </c>
      <c r="J52">
        <v>2195.9499999999998</v>
      </c>
      <c r="K52">
        <v>51.218899999999998</v>
      </c>
      <c r="L52">
        <v>12264.75724087</v>
      </c>
      <c r="M52">
        <v>4.5199999999999996</v>
      </c>
      <c r="N52">
        <v>5.16</v>
      </c>
      <c r="O52" s="2">
        <v>0.54119061936260904</v>
      </c>
      <c r="P52">
        <v>13.818924438393401</v>
      </c>
      <c r="Q52">
        <f t="shared" si="10"/>
        <v>0.53973144517174831</v>
      </c>
      <c r="R52">
        <f t="shared" si="0"/>
        <v>0.30318365144756265</v>
      </c>
      <c r="S52">
        <f t="shared" si="1"/>
        <v>8.3310684438152389</v>
      </c>
      <c r="T52">
        <f t="shared" si="2"/>
        <v>0.13131978249606147</v>
      </c>
      <c r="U52">
        <f t="shared" si="3"/>
        <v>19.089591355139209</v>
      </c>
      <c r="V52">
        <f t="shared" si="4"/>
        <v>21.314792803150702</v>
      </c>
      <c r="W52">
        <f t="shared" si="5"/>
        <v>5.7191250617834051</v>
      </c>
      <c r="X52">
        <f t="shared" si="6"/>
        <v>6.541140892892189</v>
      </c>
      <c r="Y52">
        <f t="shared" si="7"/>
        <v>3.3803413436508638</v>
      </c>
      <c r="Z52">
        <f t="shared" si="8"/>
        <v>-1.1605816453172952</v>
      </c>
      <c r="AA52">
        <f t="shared" si="9"/>
        <v>4.1178715314454859</v>
      </c>
      <c r="AB52">
        <f t="shared" si="11"/>
        <v>9.9999999999997868E-3</v>
      </c>
      <c r="AC52">
        <f t="shared" si="12"/>
        <v>-0.10499999999999954</v>
      </c>
    </row>
    <row r="53" spans="1:29" x14ac:dyDescent="0.2">
      <c r="A53" s="1">
        <v>38837</v>
      </c>
      <c r="B53">
        <v>102.718052738336</v>
      </c>
      <c r="C53">
        <v>65.068971140000002</v>
      </c>
      <c r="D53">
        <v>56.5</v>
      </c>
      <c r="E53">
        <v>77.099999999999994</v>
      </c>
      <c r="F53">
        <v>3917.8847679999999</v>
      </c>
      <c r="G53">
        <v>4416.6750030000003</v>
      </c>
      <c r="H53">
        <v>95026</v>
      </c>
      <c r="I53">
        <v>77384</v>
      </c>
      <c r="J53">
        <v>2270.5300000000002</v>
      </c>
      <c r="K53">
        <v>51.359699999999997</v>
      </c>
      <c r="L53">
        <v>12439.307322140001</v>
      </c>
      <c r="M53">
        <v>4.6500000000000004</v>
      </c>
      <c r="N53">
        <v>5.0750000000000002</v>
      </c>
      <c r="O53" s="2">
        <v>0.95693779904305998</v>
      </c>
      <c r="P53">
        <v>13.517148621385299</v>
      </c>
      <c r="Q53">
        <f t="shared" si="10"/>
        <v>0.95238815112555408</v>
      </c>
      <c r="R53">
        <f t="shared" si="0"/>
        <v>0.20161297215427892</v>
      </c>
      <c r="S53">
        <f t="shared" si="1"/>
        <v>-8.1539204789770388</v>
      </c>
      <c r="T53">
        <f t="shared" si="2"/>
        <v>1.1741817876683194</v>
      </c>
      <c r="U53">
        <f t="shared" si="3"/>
        <v>-6.3226491194063854</v>
      </c>
      <c r="V53">
        <f t="shared" si="4"/>
        <v>4.398813200971265</v>
      </c>
      <c r="W53">
        <f t="shared" si="5"/>
        <v>33.355518959494596</v>
      </c>
      <c r="X53">
        <f t="shared" si="6"/>
        <v>-20.805037949375453</v>
      </c>
      <c r="Y53">
        <f t="shared" si="7"/>
        <v>3.3398529699503974</v>
      </c>
      <c r="Z53">
        <f t="shared" si="8"/>
        <v>0.27452136883271683</v>
      </c>
      <c r="AA53">
        <f t="shared" si="9"/>
        <v>1.4131519581900689</v>
      </c>
      <c r="AB53">
        <f t="shared" si="11"/>
        <v>0.13000000000000078</v>
      </c>
      <c r="AC53">
        <f t="shared" si="12"/>
        <v>-8.4999999999999964E-2</v>
      </c>
    </row>
    <row r="54" spans="1:29" x14ac:dyDescent="0.2">
      <c r="A54" s="1">
        <v>38868</v>
      </c>
      <c r="B54">
        <v>103.56997971602399</v>
      </c>
      <c r="C54">
        <v>65.200026469999997</v>
      </c>
      <c r="D54">
        <v>59.7</v>
      </c>
      <c r="E54">
        <v>77.900000000000006</v>
      </c>
      <c r="F54">
        <v>3885.1164370000001</v>
      </c>
      <c r="G54">
        <v>4447.840897</v>
      </c>
      <c r="H54">
        <v>89732</v>
      </c>
      <c r="I54">
        <v>83921</v>
      </c>
      <c r="J54">
        <v>2296.11</v>
      </c>
      <c r="K54">
        <v>52.127299999999998</v>
      </c>
      <c r="L54">
        <v>12365.941265359999</v>
      </c>
      <c r="M54">
        <v>4.74</v>
      </c>
      <c r="N54">
        <v>5.0259999999999998</v>
      </c>
      <c r="O54" s="2">
        <v>0.82938388625599502</v>
      </c>
      <c r="P54">
        <v>11.6797900262467</v>
      </c>
      <c r="Q54">
        <f t="shared" si="10"/>
        <v>0.82596339774206018</v>
      </c>
      <c r="R54">
        <f t="shared" si="0"/>
        <v>0.20120731197528491</v>
      </c>
      <c r="S54">
        <f t="shared" si="1"/>
        <v>5.5091382246161142</v>
      </c>
      <c r="T54">
        <f t="shared" si="2"/>
        <v>1.0322672307418959</v>
      </c>
      <c r="U54">
        <f t="shared" si="3"/>
        <v>-0.83989538816355946</v>
      </c>
      <c r="V54">
        <f t="shared" si="4"/>
        <v>0.70316355151444376</v>
      </c>
      <c r="W54">
        <f t="shared" si="5"/>
        <v>-5.7323088215316522</v>
      </c>
      <c r="X54">
        <f t="shared" si="6"/>
        <v>8.1095839247381125</v>
      </c>
      <c r="Y54">
        <f t="shared" si="7"/>
        <v>1.1203102300098129</v>
      </c>
      <c r="Z54">
        <f t="shared" si="8"/>
        <v>1.4834985602588431</v>
      </c>
      <c r="AA54">
        <f t="shared" si="9"/>
        <v>-0.5915382823517914</v>
      </c>
      <c r="AB54">
        <f t="shared" si="11"/>
        <v>8.9999999999999858E-2</v>
      </c>
      <c r="AC54">
        <f t="shared" si="12"/>
        <v>-4.9000000000000377E-2</v>
      </c>
    </row>
    <row r="55" spans="1:29" x14ac:dyDescent="0.2">
      <c r="A55" s="1">
        <v>38898</v>
      </c>
      <c r="B55">
        <v>104.7261663286</v>
      </c>
      <c r="C55">
        <v>65.593192459999997</v>
      </c>
      <c r="D55">
        <v>58.5</v>
      </c>
      <c r="E55">
        <v>78.7</v>
      </c>
      <c r="F55">
        <v>4055.141466</v>
      </c>
      <c r="G55">
        <v>4533.9987019999999</v>
      </c>
      <c r="H55">
        <v>81298</v>
      </c>
      <c r="I55">
        <v>68645</v>
      </c>
      <c r="J55">
        <v>2178.79</v>
      </c>
      <c r="K55">
        <v>53.156700000000001</v>
      </c>
      <c r="L55">
        <v>12205.12401799</v>
      </c>
      <c r="M55">
        <v>4.87</v>
      </c>
      <c r="N55">
        <v>5.2729999999999997</v>
      </c>
      <c r="O55" s="2">
        <v>1.1163337250293099</v>
      </c>
      <c r="P55">
        <v>13.747521480502201</v>
      </c>
      <c r="Q55">
        <f t="shared" si="10"/>
        <v>1.1101487078219487</v>
      </c>
      <c r="R55">
        <f t="shared" si="0"/>
        <v>0.60120421754740516</v>
      </c>
      <c r="S55">
        <f t="shared" si="1"/>
        <v>-2.0305266160745683</v>
      </c>
      <c r="T55">
        <f t="shared" si="2"/>
        <v>1.0217202546654913</v>
      </c>
      <c r="U55">
        <f t="shared" si="3"/>
        <v>4.2832619480994758</v>
      </c>
      <c r="V55">
        <f t="shared" si="4"/>
        <v>1.9185479054684347</v>
      </c>
      <c r="W55">
        <f t="shared" si="5"/>
        <v>-9.8706034145887571</v>
      </c>
      <c r="X55">
        <f t="shared" si="6"/>
        <v>-20.092758377805868</v>
      </c>
      <c r="Y55">
        <f t="shared" si="7"/>
        <v>-5.2446709882910758</v>
      </c>
      <c r="Z55">
        <f t="shared" si="8"/>
        <v>1.9555351323028367</v>
      </c>
      <c r="AA55">
        <f t="shared" si="9"/>
        <v>-1.309015639937321</v>
      </c>
      <c r="AB55">
        <f t="shared" si="11"/>
        <v>0.12999999999999989</v>
      </c>
      <c r="AC55">
        <f t="shared" si="12"/>
        <v>0.24699999999999989</v>
      </c>
    </row>
    <row r="56" spans="1:29" x14ac:dyDescent="0.2">
      <c r="A56" s="1">
        <v>38929</v>
      </c>
      <c r="B56">
        <v>105.88235294117599</v>
      </c>
      <c r="C56">
        <v>65.789775460000001</v>
      </c>
      <c r="D56">
        <v>56.6</v>
      </c>
      <c r="E56">
        <v>79.599999999999994</v>
      </c>
      <c r="F56">
        <v>4016.2825910000001</v>
      </c>
      <c r="G56">
        <v>4412.4506540000002</v>
      </c>
      <c r="H56">
        <v>73667</v>
      </c>
      <c r="I56">
        <v>90677</v>
      </c>
      <c r="J56">
        <v>2390.84</v>
      </c>
      <c r="K56">
        <v>52.397599999999997</v>
      </c>
      <c r="L56">
        <v>12613.681114380001</v>
      </c>
      <c r="M56">
        <v>4.97</v>
      </c>
      <c r="N56">
        <v>5.1829999999999998</v>
      </c>
      <c r="O56" s="2">
        <v>1.10400929692042</v>
      </c>
      <c r="P56">
        <v>14.323258869908001</v>
      </c>
      <c r="Q56">
        <f t="shared" si="10"/>
        <v>1.0979595997034735</v>
      </c>
      <c r="R56">
        <f t="shared" si="0"/>
        <v>0.29925210217921466</v>
      </c>
      <c r="S56">
        <f t="shared" si="1"/>
        <v>-3.3017769028673554</v>
      </c>
      <c r="T56">
        <f t="shared" si="2"/>
        <v>1.1370937426979693</v>
      </c>
      <c r="U56">
        <f t="shared" si="3"/>
        <v>-0.96288275665598733</v>
      </c>
      <c r="V56">
        <f t="shared" si="4"/>
        <v>-2.7174026836446421</v>
      </c>
      <c r="W56">
        <f t="shared" si="5"/>
        <v>-9.8566478278887697</v>
      </c>
      <c r="X56">
        <f t="shared" si="6"/>
        <v>27.835544537240057</v>
      </c>
      <c r="Y56">
        <f t="shared" si="7"/>
        <v>9.2875091794953448</v>
      </c>
      <c r="Z56">
        <f t="shared" si="8"/>
        <v>-1.4383366417410905</v>
      </c>
      <c r="AA56">
        <f t="shared" si="9"/>
        <v>3.2926162590712562</v>
      </c>
      <c r="AB56">
        <f t="shared" si="11"/>
        <v>9.9999999999999645E-2</v>
      </c>
      <c r="AC56">
        <f t="shared" si="12"/>
        <v>-8.9999999999999858E-2</v>
      </c>
    </row>
    <row r="57" spans="1:29" x14ac:dyDescent="0.2">
      <c r="A57" s="1">
        <v>38960</v>
      </c>
      <c r="B57">
        <v>104.361054766734</v>
      </c>
      <c r="C57">
        <v>65.986358449999997</v>
      </c>
      <c r="D57">
        <v>58.7</v>
      </c>
      <c r="E57">
        <v>79.7</v>
      </c>
      <c r="F57">
        <v>4273.8029740000002</v>
      </c>
      <c r="G57">
        <v>4883.658015</v>
      </c>
      <c r="H57">
        <v>97521</v>
      </c>
      <c r="I57">
        <v>83187</v>
      </c>
      <c r="J57">
        <v>2312.23</v>
      </c>
      <c r="K57">
        <v>51.361800000000002</v>
      </c>
      <c r="L57">
        <v>12753.41078099</v>
      </c>
      <c r="M57">
        <v>4.92</v>
      </c>
      <c r="N57">
        <v>5.0149999999999997</v>
      </c>
      <c r="O57">
        <v>-1.43678160919541</v>
      </c>
      <c r="P57">
        <v>12.1648136036625</v>
      </c>
      <c r="Q57">
        <f t="shared" si="10"/>
        <v>-1.447203260853263</v>
      </c>
      <c r="R57">
        <f t="shared" si="0"/>
        <v>0.29835924001711106</v>
      </c>
      <c r="S57">
        <f t="shared" si="1"/>
        <v>3.6430741624913554</v>
      </c>
      <c r="T57">
        <f t="shared" si="2"/>
        <v>0.12554929458322245</v>
      </c>
      <c r="U57">
        <f t="shared" si="3"/>
        <v>6.2147310899132213</v>
      </c>
      <c r="V57">
        <f t="shared" si="4"/>
        <v>10.146429333064647</v>
      </c>
      <c r="W57">
        <f t="shared" si="5"/>
        <v>28.051280170096614</v>
      </c>
      <c r="X57">
        <f t="shared" si="6"/>
        <v>-8.6212656103108891</v>
      </c>
      <c r="Y57">
        <f t="shared" si="7"/>
        <v>-3.3432341798323502</v>
      </c>
      <c r="Z57">
        <f t="shared" si="8"/>
        <v>-1.9966083254801421</v>
      </c>
      <c r="AA57">
        <f t="shared" si="9"/>
        <v>1.1016720435344458</v>
      </c>
      <c r="AB57">
        <f t="shared" si="11"/>
        <v>-4.9999999999999822E-2</v>
      </c>
      <c r="AC57">
        <f t="shared" si="12"/>
        <v>-0.16800000000000015</v>
      </c>
    </row>
    <row r="58" spans="1:29" x14ac:dyDescent="0.2">
      <c r="A58" s="1">
        <v>38990</v>
      </c>
      <c r="B58">
        <v>103.87423935091201</v>
      </c>
      <c r="C58">
        <v>65.986358449999997</v>
      </c>
      <c r="D58">
        <v>58.5</v>
      </c>
      <c r="E58">
        <v>78.3</v>
      </c>
      <c r="F58">
        <v>4178.4049070000001</v>
      </c>
      <c r="G58">
        <v>4355.4817430000003</v>
      </c>
      <c r="H58">
        <v>73648</v>
      </c>
      <c r="I58">
        <v>89877</v>
      </c>
      <c r="J58">
        <v>2556.71</v>
      </c>
      <c r="K58">
        <v>50.401200000000003</v>
      </c>
      <c r="L58">
        <v>13090.908434389999</v>
      </c>
      <c r="M58">
        <v>4.7699999999999996</v>
      </c>
      <c r="N58">
        <v>4.8659999999999997</v>
      </c>
      <c r="O58">
        <v>-0.46647230320699601</v>
      </c>
      <c r="P58">
        <v>6.6208619612742003</v>
      </c>
      <c r="Q58">
        <f t="shared" si="10"/>
        <v>-0.46756368056043868</v>
      </c>
      <c r="R58">
        <f t="shared" si="0"/>
        <v>0</v>
      </c>
      <c r="S58">
        <f t="shared" si="1"/>
        <v>-0.34129725962399576</v>
      </c>
      <c r="T58">
        <f t="shared" si="2"/>
        <v>-1.7721982799411968</v>
      </c>
      <c r="U58">
        <f t="shared" si="3"/>
        <v>-2.2574484585601891</v>
      </c>
      <c r="V58">
        <f t="shared" si="4"/>
        <v>-11.445930974167164</v>
      </c>
      <c r="W58">
        <f t="shared" si="5"/>
        <v>-28.077075235236432</v>
      </c>
      <c r="X58">
        <f t="shared" si="6"/>
        <v>7.7350983304099925</v>
      </c>
      <c r="Y58">
        <f t="shared" si="7"/>
        <v>10.050884888887653</v>
      </c>
      <c r="Z58">
        <f t="shared" si="8"/>
        <v>-1.8879721178865216</v>
      </c>
      <c r="AA58">
        <f t="shared" si="9"/>
        <v>2.6119228562937815</v>
      </c>
      <c r="AB58">
        <f t="shared" si="11"/>
        <v>-0.15000000000000036</v>
      </c>
      <c r="AC58">
        <f t="shared" si="12"/>
        <v>-0.14900000000000002</v>
      </c>
    </row>
    <row r="59" spans="1:29" x14ac:dyDescent="0.2">
      <c r="A59" s="1">
        <v>39021</v>
      </c>
      <c r="B59">
        <v>103.38742393509099</v>
      </c>
      <c r="C59">
        <v>66.117413780000007</v>
      </c>
      <c r="D59">
        <v>61.7</v>
      </c>
      <c r="E59">
        <v>77.7</v>
      </c>
      <c r="F59">
        <v>4207.3354170000002</v>
      </c>
      <c r="G59">
        <v>4686.4096410000002</v>
      </c>
      <c r="H59">
        <v>79856</v>
      </c>
      <c r="I59">
        <v>85698</v>
      </c>
      <c r="J59">
        <v>2708.5</v>
      </c>
      <c r="K59">
        <v>50.003799999999998</v>
      </c>
      <c r="L59">
        <v>13292.37152171</v>
      </c>
      <c r="M59">
        <v>4.95</v>
      </c>
      <c r="N59">
        <v>5.0679999999999996</v>
      </c>
      <c r="O59">
        <v>-0.46865846514352499</v>
      </c>
      <c r="P59">
        <v>7.8730158730158699</v>
      </c>
      <c r="Q59">
        <f t="shared" si="10"/>
        <v>-0.469760112250387</v>
      </c>
      <c r="R59">
        <f t="shared" si="0"/>
        <v>0.1984127641204852</v>
      </c>
      <c r="S59">
        <f t="shared" si="1"/>
        <v>5.3257176673531346</v>
      </c>
      <c r="T59">
        <f t="shared" si="2"/>
        <v>-0.76923456231556142</v>
      </c>
      <c r="U59">
        <f t="shared" si="3"/>
        <v>0.68999572279825816</v>
      </c>
      <c r="V59">
        <f t="shared" si="4"/>
        <v>7.3231531762250279</v>
      </c>
      <c r="W59">
        <f t="shared" si="5"/>
        <v>8.0928025652367825</v>
      </c>
      <c r="X59">
        <f t="shared" si="6"/>
        <v>-4.7612580814413441</v>
      </c>
      <c r="Y59">
        <f t="shared" si="7"/>
        <v>5.7673700395854306</v>
      </c>
      <c r="Z59">
        <f t="shared" si="8"/>
        <v>-0.79159817773979435</v>
      </c>
      <c r="AA59">
        <f t="shared" si="9"/>
        <v>1.5272324250521832</v>
      </c>
      <c r="AB59">
        <f t="shared" si="11"/>
        <v>0.1800000000000006</v>
      </c>
      <c r="AC59">
        <f t="shared" si="12"/>
        <v>0.20199999999999996</v>
      </c>
    </row>
    <row r="60" spans="1:29" x14ac:dyDescent="0.2">
      <c r="A60" s="1">
        <v>39051</v>
      </c>
      <c r="B60">
        <v>103.083164300202</v>
      </c>
      <c r="C60">
        <v>66.248469110000002</v>
      </c>
      <c r="D60">
        <v>63</v>
      </c>
      <c r="E60">
        <v>77.599999999999994</v>
      </c>
      <c r="F60">
        <v>4031.0331919999999</v>
      </c>
      <c r="G60">
        <v>4509.6564310000003</v>
      </c>
      <c r="H60">
        <v>86690</v>
      </c>
      <c r="I60">
        <v>88759</v>
      </c>
      <c r="J60">
        <v>2788.46</v>
      </c>
      <c r="K60">
        <v>49.843400000000003</v>
      </c>
      <c r="L60">
        <v>14135.466396039999</v>
      </c>
      <c r="M60">
        <v>4.9000000000000004</v>
      </c>
      <c r="N60">
        <v>4.41</v>
      </c>
      <c r="O60">
        <v>-0.29429075927012199</v>
      </c>
      <c r="P60">
        <v>9.8573281452659298</v>
      </c>
      <c r="Q60">
        <f t="shared" si="10"/>
        <v>-0.29472464599377368</v>
      </c>
      <c r="R60">
        <f t="shared" si="0"/>
        <v>0.19801986729960935</v>
      </c>
      <c r="S60">
        <f t="shared" si="1"/>
        <v>2.0850795480190571</v>
      </c>
      <c r="T60">
        <f t="shared" si="2"/>
        <v>-0.12878301844288362</v>
      </c>
      <c r="U60">
        <f t="shared" si="3"/>
        <v>-4.2806811454016973</v>
      </c>
      <c r="V60">
        <f t="shared" si="4"/>
        <v>-3.8445783085012391</v>
      </c>
      <c r="W60">
        <f t="shared" si="5"/>
        <v>8.2113524153295554</v>
      </c>
      <c r="X60">
        <f t="shared" si="6"/>
        <v>3.5095343556193606</v>
      </c>
      <c r="Y60">
        <f t="shared" si="7"/>
        <v>2.9094495999040402</v>
      </c>
      <c r="Z60">
        <f t="shared" si="8"/>
        <v>-0.321291208930154</v>
      </c>
      <c r="AA60">
        <f t="shared" si="9"/>
        <v>6.149668555261024</v>
      </c>
      <c r="AB60">
        <f t="shared" si="11"/>
        <v>-4.9999999999999822E-2</v>
      </c>
      <c r="AC60">
        <f t="shared" si="12"/>
        <v>-0.65799999999999947</v>
      </c>
    </row>
    <row r="61" spans="1:29" x14ac:dyDescent="0.2">
      <c r="A61" s="1">
        <v>39082</v>
      </c>
      <c r="B61">
        <v>103.56997971602399</v>
      </c>
      <c r="C61">
        <v>66.379524439999997</v>
      </c>
      <c r="D61">
        <v>61.4</v>
      </c>
      <c r="E61">
        <v>78.099999999999994</v>
      </c>
      <c r="F61">
        <v>3690.4646429999998</v>
      </c>
      <c r="G61">
        <v>4178.4739680000002</v>
      </c>
      <c r="H61">
        <v>97203</v>
      </c>
      <c r="I61">
        <v>103674</v>
      </c>
      <c r="J61">
        <v>2982.54</v>
      </c>
      <c r="K61">
        <v>49.466999999999999</v>
      </c>
      <c r="L61">
        <v>15823.349268890001</v>
      </c>
      <c r="M61">
        <v>4.8899999999999997</v>
      </c>
      <c r="N61">
        <v>4.133</v>
      </c>
      <c r="O61" s="2">
        <v>0.47225501770956102</v>
      </c>
      <c r="P61">
        <v>3.6540803897686098</v>
      </c>
      <c r="Q61">
        <f t="shared" si="10"/>
        <v>0.47114339213245254</v>
      </c>
      <c r="R61">
        <f t="shared" si="0"/>
        <v>0.1976285234321199</v>
      </c>
      <c r="S61">
        <f t="shared" si="1"/>
        <v>-2.5724891238435932</v>
      </c>
      <c r="T61">
        <f t="shared" si="2"/>
        <v>0.64226296564671925</v>
      </c>
      <c r="U61">
        <f t="shared" si="3"/>
        <v>-8.8270348648759107</v>
      </c>
      <c r="V61">
        <f t="shared" si="4"/>
        <v>-7.6274870780523321</v>
      </c>
      <c r="W61">
        <f t="shared" si="5"/>
        <v>11.446303830708567</v>
      </c>
      <c r="X61">
        <f t="shared" si="6"/>
        <v>15.532652889429974</v>
      </c>
      <c r="Y61">
        <f t="shared" si="7"/>
        <v>6.7285814352619804</v>
      </c>
      <c r="Z61">
        <f t="shared" si="8"/>
        <v>-0.758030986405</v>
      </c>
      <c r="AA61">
        <f t="shared" si="9"/>
        <v>11.279966455688175</v>
      </c>
      <c r="AB61">
        <f t="shared" si="11"/>
        <v>-1.0000000000000675E-2</v>
      </c>
      <c r="AC61">
        <f t="shared" si="12"/>
        <v>-0.27700000000000014</v>
      </c>
    </row>
    <row r="62" spans="1:29" x14ac:dyDescent="0.2">
      <c r="A62" s="1">
        <v>39113</v>
      </c>
      <c r="B62">
        <v>102.535496957403</v>
      </c>
      <c r="C62">
        <v>66.707162760000003</v>
      </c>
      <c r="D62">
        <v>54.3</v>
      </c>
      <c r="E62">
        <v>77.7</v>
      </c>
      <c r="F62">
        <v>3991.8488889999999</v>
      </c>
      <c r="G62">
        <v>3904.1611109999999</v>
      </c>
      <c r="H62">
        <v>72651</v>
      </c>
      <c r="I62">
        <v>102366</v>
      </c>
      <c r="J62">
        <v>3239.27</v>
      </c>
      <c r="K62">
        <v>48.914299999999997</v>
      </c>
      <c r="L62">
        <v>15569.09125632</v>
      </c>
      <c r="M62">
        <v>4.99</v>
      </c>
      <c r="N62">
        <v>3.5910000000000002</v>
      </c>
      <c r="O62">
        <v>-0.99882491186839895</v>
      </c>
      <c r="P62">
        <v>1.99757869249395</v>
      </c>
      <c r="Q62">
        <f t="shared" si="10"/>
        <v>-1.0038466346860373</v>
      </c>
      <c r="R62">
        <f t="shared" si="0"/>
        <v>0.49236928019987836</v>
      </c>
      <c r="S62">
        <f t="shared" si="1"/>
        <v>-12.288560821320708</v>
      </c>
      <c r="T62">
        <f t="shared" si="2"/>
        <v>-0.5134799472038416</v>
      </c>
      <c r="U62">
        <f t="shared" si="3"/>
        <v>7.8502134638408885</v>
      </c>
      <c r="V62">
        <f t="shared" si="4"/>
        <v>-6.7903164567296725</v>
      </c>
      <c r="W62">
        <f t="shared" si="5"/>
        <v>-29.11344206411604</v>
      </c>
      <c r="X62">
        <f t="shared" si="6"/>
        <v>-1.2696734338212443</v>
      </c>
      <c r="Y62">
        <f t="shared" si="7"/>
        <v>8.2572709308980752</v>
      </c>
      <c r="Z62">
        <f t="shared" si="8"/>
        <v>-1.1235993318635034</v>
      </c>
      <c r="AA62">
        <f t="shared" si="9"/>
        <v>-1.6199031884739434</v>
      </c>
      <c r="AB62">
        <f t="shared" si="11"/>
        <v>0.10000000000000053</v>
      </c>
      <c r="AC62">
        <f t="shared" si="12"/>
        <v>-0.54199999999999982</v>
      </c>
    </row>
    <row r="63" spans="1:29" x14ac:dyDescent="0.2">
      <c r="A63" s="1">
        <v>39141</v>
      </c>
      <c r="B63">
        <v>101.805273833671</v>
      </c>
      <c r="C63">
        <v>66.641635100000002</v>
      </c>
      <c r="D63">
        <v>49.6</v>
      </c>
      <c r="E63">
        <v>77.599999999999994</v>
      </c>
      <c r="F63">
        <v>3721.3450929999999</v>
      </c>
      <c r="G63">
        <v>3690.137256</v>
      </c>
      <c r="H63">
        <v>89615</v>
      </c>
      <c r="I63">
        <v>78506</v>
      </c>
      <c r="J63">
        <v>3067.45</v>
      </c>
      <c r="K63">
        <v>48.381399999999999</v>
      </c>
      <c r="L63">
        <v>15928.91811617</v>
      </c>
      <c r="M63">
        <v>5.01</v>
      </c>
      <c r="N63">
        <v>3.0910000000000002</v>
      </c>
      <c r="O63">
        <v>-0.71216617210687105</v>
      </c>
      <c r="P63">
        <v>0.60132291040290897</v>
      </c>
      <c r="Q63">
        <f t="shared" si="10"/>
        <v>-0.71471417996357367</v>
      </c>
      <c r="R63">
        <f t="shared" si="0"/>
        <v>-9.8280098997535634E-2</v>
      </c>
      <c r="S63">
        <f t="shared" si="1"/>
        <v>-9.0533393209007826</v>
      </c>
      <c r="T63">
        <f t="shared" si="2"/>
        <v>-0.12878301844288362</v>
      </c>
      <c r="U63">
        <f t="shared" si="3"/>
        <v>-7.0169317206794553</v>
      </c>
      <c r="V63">
        <f t="shared" si="4"/>
        <v>-5.637928177719183</v>
      </c>
      <c r="W63">
        <f t="shared" si="5"/>
        <v>20.985556213708641</v>
      </c>
      <c r="X63">
        <f t="shared" si="6"/>
        <v>-26.537957123230765</v>
      </c>
      <c r="Y63">
        <f t="shared" si="7"/>
        <v>-5.4501398224873601</v>
      </c>
      <c r="Z63">
        <f t="shared" si="8"/>
        <v>-1.0954344927596886</v>
      </c>
      <c r="AA63">
        <f t="shared" si="9"/>
        <v>2.2848587646581024</v>
      </c>
      <c r="AB63">
        <f t="shared" si="11"/>
        <v>1.9999999999999574E-2</v>
      </c>
      <c r="AC63">
        <f t="shared" si="12"/>
        <v>-0.5</v>
      </c>
    </row>
    <row r="64" spans="1:29" x14ac:dyDescent="0.2">
      <c r="A64" s="1">
        <v>39172</v>
      </c>
      <c r="B64">
        <v>102.778904665314</v>
      </c>
      <c r="C64">
        <v>66.641635100000002</v>
      </c>
      <c r="D64">
        <v>56.5</v>
      </c>
      <c r="E64">
        <v>78.2</v>
      </c>
      <c r="F64">
        <v>4487.3334720000003</v>
      </c>
      <c r="G64">
        <v>4566.5153749999999</v>
      </c>
      <c r="H64">
        <v>75037</v>
      </c>
      <c r="I64">
        <v>108399</v>
      </c>
      <c r="J64">
        <v>3203.55</v>
      </c>
      <c r="K64">
        <v>48.517200000000003</v>
      </c>
      <c r="L64">
        <v>16857.74571177</v>
      </c>
      <c r="M64">
        <v>4.9000000000000004</v>
      </c>
      <c r="N64">
        <v>3.0110000000000001</v>
      </c>
      <c r="O64" s="2">
        <v>0.95636580992229303</v>
      </c>
      <c r="P64">
        <v>1.0167464114832601</v>
      </c>
      <c r="Q64">
        <f t="shared" si="10"/>
        <v>0.95182158209762524</v>
      </c>
      <c r="R64">
        <f t="shared" si="0"/>
        <v>0</v>
      </c>
      <c r="S64">
        <f t="shared" si="1"/>
        <v>13.02498044215135</v>
      </c>
      <c r="T64">
        <f t="shared" si="2"/>
        <v>0.77022203620925234</v>
      </c>
      <c r="U64">
        <f t="shared" si="3"/>
        <v>18.717345675316</v>
      </c>
      <c r="V64">
        <f t="shared" si="4"/>
        <v>21.308675994650827</v>
      </c>
      <c r="W64">
        <f t="shared" si="5"/>
        <v>-17.754139146279851</v>
      </c>
      <c r="X64">
        <f t="shared" si="6"/>
        <v>32.264380888222377</v>
      </c>
      <c r="Y64">
        <f t="shared" si="7"/>
        <v>4.341297235238077</v>
      </c>
      <c r="Z64">
        <f t="shared" si="8"/>
        <v>0.28029319083777071</v>
      </c>
      <c r="AA64">
        <f t="shared" si="9"/>
        <v>5.6674030584792865</v>
      </c>
      <c r="AB64">
        <f t="shared" si="11"/>
        <v>-0.10999999999999943</v>
      </c>
      <c r="AC64">
        <f t="shared" si="12"/>
        <v>-8.0000000000000071E-2</v>
      </c>
    </row>
    <row r="65" spans="1:29" x14ac:dyDescent="0.2">
      <c r="A65" s="1">
        <v>39202</v>
      </c>
      <c r="B65">
        <v>103.02231237322501</v>
      </c>
      <c r="C65">
        <v>66.772690429999997</v>
      </c>
      <c r="D65">
        <v>53.2</v>
      </c>
      <c r="E65">
        <v>79.099999999999994</v>
      </c>
      <c r="F65">
        <v>4124.04882</v>
      </c>
      <c r="G65">
        <v>4342.796679</v>
      </c>
      <c r="H65">
        <v>101155</v>
      </c>
      <c r="I65">
        <v>89203</v>
      </c>
      <c r="J65">
        <v>3270.73</v>
      </c>
      <c r="K65">
        <v>47.822400000000002</v>
      </c>
      <c r="L65">
        <v>18128.151606799998</v>
      </c>
      <c r="M65">
        <v>4.79</v>
      </c>
      <c r="N65">
        <v>2.9060000000000001</v>
      </c>
      <c r="O65" s="2">
        <v>0.2368265245708</v>
      </c>
      <c r="P65">
        <v>0.29620853080574699</v>
      </c>
      <c r="Q65">
        <f t="shared" si="10"/>
        <v>0.23654653253377053</v>
      </c>
      <c r="R65">
        <f t="shared" si="0"/>
        <v>0.1964637180202326</v>
      </c>
      <c r="S65">
        <f t="shared" si="1"/>
        <v>-6.0182241804796508</v>
      </c>
      <c r="T65">
        <f t="shared" si="2"/>
        <v>1.1443227222342713</v>
      </c>
      <c r="U65">
        <f t="shared" si="3"/>
        <v>-8.4423239716225709</v>
      </c>
      <c r="V65">
        <f t="shared" si="4"/>
        <v>-5.0231877393871383</v>
      </c>
      <c r="W65">
        <f t="shared" si="5"/>
        <v>29.867266870861492</v>
      </c>
      <c r="X65">
        <f t="shared" si="6"/>
        <v>-19.490419256333691</v>
      </c>
      <c r="Y65">
        <f t="shared" si="7"/>
        <v>2.0753631680715636</v>
      </c>
      <c r="Z65">
        <f t="shared" si="8"/>
        <v>-1.4424225272522044</v>
      </c>
      <c r="AA65">
        <f t="shared" si="9"/>
        <v>7.2655830046027683</v>
      </c>
      <c r="AB65">
        <f t="shared" si="11"/>
        <v>-0.11000000000000032</v>
      </c>
      <c r="AC65">
        <f t="shared" si="12"/>
        <v>-0.10499999999999998</v>
      </c>
    </row>
    <row r="66" spans="1:29" x14ac:dyDescent="0.2">
      <c r="A66" s="1">
        <v>39233</v>
      </c>
      <c r="B66">
        <v>102.718052738336</v>
      </c>
      <c r="C66">
        <v>66.969273419999993</v>
      </c>
      <c r="D66">
        <v>54.3</v>
      </c>
      <c r="E66">
        <v>79.5</v>
      </c>
      <c r="F66">
        <v>4127.8644860000004</v>
      </c>
      <c r="G66">
        <v>4296.137369</v>
      </c>
      <c r="H66">
        <v>94133</v>
      </c>
      <c r="I66">
        <v>95880</v>
      </c>
      <c r="J66">
        <v>3474.67</v>
      </c>
      <c r="K66">
        <v>46.814100000000003</v>
      </c>
      <c r="L66">
        <v>18145.539115</v>
      </c>
      <c r="M66">
        <v>4.5999999999999996</v>
      </c>
      <c r="N66">
        <v>2.9830000000000001</v>
      </c>
      <c r="O66">
        <v>-0.29533372711169598</v>
      </c>
      <c r="P66">
        <v>-0.82256169212697905</v>
      </c>
      <c r="Q66">
        <f t="shared" si="10"/>
        <v>-0.29577069772384496</v>
      </c>
      <c r="R66">
        <f t="shared" si="0"/>
        <v>0.29397374752758071</v>
      </c>
      <c r="S66">
        <f t="shared" si="1"/>
        <v>2.0465830592291039</v>
      </c>
      <c r="T66">
        <f t="shared" si="2"/>
        <v>0.50441468866780026</v>
      </c>
      <c r="U66">
        <f t="shared" si="3"/>
        <v>9.2479553055182059E-2</v>
      </c>
      <c r="V66">
        <f t="shared" si="4"/>
        <v>-1.0802203941708277</v>
      </c>
      <c r="W66">
        <f t="shared" si="5"/>
        <v>-7.1945318061156645</v>
      </c>
      <c r="X66">
        <f t="shared" si="6"/>
        <v>7.2182738258777137</v>
      </c>
      <c r="Y66">
        <f t="shared" si="7"/>
        <v>6.0486308893929444</v>
      </c>
      <c r="Z66">
        <f t="shared" si="8"/>
        <v>-2.1309709378004742</v>
      </c>
      <c r="AA66">
        <f t="shared" si="9"/>
        <v>9.5868433488387458E-2</v>
      </c>
      <c r="AB66">
        <f t="shared" si="11"/>
        <v>-0.19000000000000039</v>
      </c>
      <c r="AC66">
        <f t="shared" si="12"/>
        <v>7.6999999999999957E-2</v>
      </c>
    </row>
    <row r="67" spans="1:29" x14ac:dyDescent="0.2">
      <c r="A67" s="1">
        <v>39263</v>
      </c>
      <c r="B67">
        <v>102.900608519269</v>
      </c>
      <c r="C67">
        <v>67.296911750000007</v>
      </c>
      <c r="D67">
        <v>56.2</v>
      </c>
      <c r="E67">
        <v>79.8</v>
      </c>
      <c r="F67">
        <v>4147.4207720000004</v>
      </c>
      <c r="G67">
        <v>4706.5354079999997</v>
      </c>
      <c r="H67">
        <v>77688</v>
      </c>
      <c r="I67">
        <v>76906</v>
      </c>
      <c r="J67">
        <v>3660.86</v>
      </c>
      <c r="K67">
        <v>46.160200000000003</v>
      </c>
      <c r="L67">
        <v>18107.227110740001</v>
      </c>
      <c r="M67">
        <v>4.68</v>
      </c>
      <c r="N67">
        <v>3.3490000000000002</v>
      </c>
      <c r="O67" s="2">
        <v>0.17772511848344799</v>
      </c>
      <c r="P67">
        <v>-1.7431725740848001</v>
      </c>
      <c r="Q67">
        <f t="shared" si="10"/>
        <v>0.17756737426772692</v>
      </c>
      <c r="R67">
        <f t="shared" ref="R67:R130" si="13">LN(C67/C66)*100</f>
        <v>0.48804392544728381</v>
      </c>
      <c r="S67">
        <f t="shared" ref="S67:S130" si="14">LN(D67/D66)*100</f>
        <v>3.4392529959755653</v>
      </c>
      <c r="T67">
        <f t="shared" ref="T67:T130" si="15">LN(E67/E66)*100</f>
        <v>0.37664827954768648</v>
      </c>
      <c r="U67">
        <f t="shared" ref="U67:U130" si="16">LN(F67/F66)*100</f>
        <v>0.47264406715479595</v>
      </c>
      <c r="V67">
        <f t="shared" ref="V67:V130" si="17">LN(G67/G66)*100</f>
        <v>9.1235722469867007</v>
      </c>
      <c r="W67">
        <f t="shared" ref="W67:W130" si="18">LN(H67/H66)*100</f>
        <v>-19.200787057616754</v>
      </c>
      <c r="X67">
        <f t="shared" ref="X67:X130" si="19">LN(I67/I66)*100</f>
        <v>-22.051351269123089</v>
      </c>
      <c r="Y67">
        <f t="shared" ref="Y67:Y130" si="20">LN(J67/J66)*100</f>
        <v>5.2198582010504886</v>
      </c>
      <c r="Z67">
        <f t="shared" ref="Z67:Z130" si="21">LN(K67/K66)*100</f>
        <v>-1.4066484652469358</v>
      </c>
      <c r="AA67">
        <f t="shared" ref="AA67:AA130" si="22">LN(L67/L66)*100</f>
        <v>-0.2113605250651662</v>
      </c>
      <c r="AB67">
        <f t="shared" si="11"/>
        <v>8.0000000000000071E-2</v>
      </c>
      <c r="AC67">
        <f t="shared" si="12"/>
        <v>0.3660000000000001</v>
      </c>
    </row>
    <row r="68" spans="1:29" x14ac:dyDescent="0.2">
      <c r="A68" s="1">
        <v>39294</v>
      </c>
      <c r="B68">
        <v>103.326572008113</v>
      </c>
      <c r="C68">
        <v>67.690077740000007</v>
      </c>
      <c r="D68">
        <v>57.1</v>
      </c>
      <c r="E68">
        <v>80.2</v>
      </c>
      <c r="F68">
        <v>4248.7934619999996</v>
      </c>
      <c r="G68">
        <v>5041.5633070000003</v>
      </c>
      <c r="H68">
        <v>103973</v>
      </c>
      <c r="I68">
        <v>102378</v>
      </c>
      <c r="J68">
        <v>3501.2</v>
      </c>
      <c r="K68">
        <v>45.625100000000003</v>
      </c>
      <c r="L68">
        <v>18257.598297789998</v>
      </c>
      <c r="M68">
        <v>4.82</v>
      </c>
      <c r="N68">
        <v>3.258</v>
      </c>
      <c r="O68" s="2">
        <v>0.413956238911873</v>
      </c>
      <c r="P68">
        <v>-2.41379310344829</v>
      </c>
      <c r="Q68">
        <f t="shared" ref="Q68:Q131" si="23">LN(B68/B67)*100</f>
        <v>0.41310179727141766</v>
      </c>
      <c r="R68">
        <f t="shared" si="13"/>
        <v>0.58252592087737498</v>
      </c>
      <c r="S68">
        <f t="shared" si="14"/>
        <v>1.5887359762319146</v>
      </c>
      <c r="T68">
        <f t="shared" si="15"/>
        <v>0.5000010416705839</v>
      </c>
      <c r="U68">
        <f t="shared" si="16"/>
        <v>2.4148411029362977</v>
      </c>
      <c r="V68">
        <f t="shared" si="17"/>
        <v>6.8764158758319223</v>
      </c>
      <c r="W68">
        <f t="shared" si="18"/>
        <v>29.143044475879648</v>
      </c>
      <c r="X68">
        <f t="shared" si="19"/>
        <v>28.60879488982302</v>
      </c>
      <c r="Y68">
        <f t="shared" si="20"/>
        <v>-4.4592325612968811</v>
      </c>
      <c r="Z68">
        <f t="shared" si="21"/>
        <v>-1.1659951265014781</v>
      </c>
      <c r="AA68">
        <f t="shared" si="22"/>
        <v>0.82701920015454333</v>
      </c>
      <c r="AB68">
        <f t="shared" ref="AB68:AB131" si="24">M68-M67</f>
        <v>0.14000000000000057</v>
      </c>
      <c r="AC68">
        <f t="shared" ref="AC68:AC131" si="25">N68-N67</f>
        <v>-9.1000000000000192E-2</v>
      </c>
    </row>
    <row r="69" spans="1:29" x14ac:dyDescent="0.2">
      <c r="A69" s="1">
        <v>39325</v>
      </c>
      <c r="B69">
        <v>103.083164300202</v>
      </c>
      <c r="C69">
        <v>67.755605399999993</v>
      </c>
      <c r="D69">
        <v>57</v>
      </c>
      <c r="E69">
        <v>80.3</v>
      </c>
      <c r="F69">
        <v>4121.4508340000002</v>
      </c>
      <c r="G69">
        <v>4986.6123669999997</v>
      </c>
      <c r="H69">
        <v>117115</v>
      </c>
      <c r="I69">
        <v>103218</v>
      </c>
      <c r="J69">
        <v>3365.29</v>
      </c>
      <c r="K69">
        <v>46.073700000000002</v>
      </c>
      <c r="L69">
        <v>17397.24342793</v>
      </c>
      <c r="M69">
        <v>3.91</v>
      </c>
      <c r="N69">
        <v>3.419</v>
      </c>
      <c r="O69">
        <v>-0.23557126030619299</v>
      </c>
      <c r="P69">
        <v>-1.2244897959183201</v>
      </c>
      <c r="Q69">
        <f t="shared" si="23"/>
        <v>-0.23584916592953878</v>
      </c>
      <c r="R69">
        <f t="shared" si="13"/>
        <v>9.6758587787004857E-2</v>
      </c>
      <c r="S69">
        <f t="shared" si="14"/>
        <v>-0.17528488274143605</v>
      </c>
      <c r="T69">
        <f t="shared" si="15"/>
        <v>0.12461060802471557</v>
      </c>
      <c r="U69">
        <f t="shared" si="16"/>
        <v>-3.0429805789461493</v>
      </c>
      <c r="V69">
        <f t="shared" si="17"/>
        <v>-1.095941909938831</v>
      </c>
      <c r="W69">
        <f t="shared" si="18"/>
        <v>11.902510799402368</v>
      </c>
      <c r="X69">
        <f t="shared" si="19"/>
        <v>0.81714106697742717</v>
      </c>
      <c r="Y69">
        <f t="shared" si="20"/>
        <v>-3.9591626214987414</v>
      </c>
      <c r="Z69">
        <f t="shared" si="21"/>
        <v>0.97842846097000236</v>
      </c>
      <c r="AA69">
        <f t="shared" si="22"/>
        <v>-4.8269568477376348</v>
      </c>
      <c r="AB69">
        <f t="shared" si="24"/>
        <v>-0.91000000000000014</v>
      </c>
      <c r="AC69">
        <f t="shared" si="25"/>
        <v>0.16100000000000003</v>
      </c>
    </row>
    <row r="70" spans="1:29" x14ac:dyDescent="0.2">
      <c r="A70" s="1">
        <v>39355</v>
      </c>
      <c r="B70">
        <v>103.20486815415801</v>
      </c>
      <c r="C70">
        <v>67.886660730000003</v>
      </c>
      <c r="D70">
        <v>56.2</v>
      </c>
      <c r="E70">
        <v>80.900000000000006</v>
      </c>
      <c r="F70">
        <v>4389.3787560000001</v>
      </c>
      <c r="G70">
        <v>4743.7964940000002</v>
      </c>
      <c r="H70">
        <v>80890</v>
      </c>
      <c r="I70">
        <v>95411</v>
      </c>
      <c r="J70">
        <v>3572.9</v>
      </c>
      <c r="K70">
        <v>46.131500000000003</v>
      </c>
      <c r="L70">
        <v>17695.252490260002</v>
      </c>
      <c r="M70">
        <v>3.72</v>
      </c>
      <c r="N70">
        <v>3.6360000000000001</v>
      </c>
      <c r="O70" s="2">
        <v>0.11806375442731699</v>
      </c>
      <c r="P70">
        <v>-0.64440538957238302</v>
      </c>
      <c r="Q70">
        <f t="shared" si="23"/>
        <v>0.11799411398547578</v>
      </c>
      <c r="R70">
        <f t="shared" si="13"/>
        <v>0.19323677570374909</v>
      </c>
      <c r="S70">
        <f t="shared" si="14"/>
        <v>-1.4134510934904694</v>
      </c>
      <c r="T70">
        <f t="shared" si="15"/>
        <v>0.74442031117300467</v>
      </c>
      <c r="U70">
        <f t="shared" si="16"/>
        <v>6.2982458085488275</v>
      </c>
      <c r="V70">
        <f t="shared" si="17"/>
        <v>-4.9919031627855999</v>
      </c>
      <c r="W70">
        <f t="shared" si="18"/>
        <v>-37.00661510150119</v>
      </c>
      <c r="X70">
        <f t="shared" si="19"/>
        <v>-7.8649380652481105</v>
      </c>
      <c r="Y70">
        <f t="shared" si="20"/>
        <v>5.9863450303033243</v>
      </c>
      <c r="Z70">
        <f t="shared" si="21"/>
        <v>0.12537255506407816</v>
      </c>
      <c r="AA70">
        <f t="shared" si="22"/>
        <v>1.6984612724919455</v>
      </c>
      <c r="AB70">
        <f t="shared" si="24"/>
        <v>-0.18999999999999995</v>
      </c>
      <c r="AC70">
        <f t="shared" si="25"/>
        <v>0.21700000000000008</v>
      </c>
    </row>
    <row r="71" spans="1:29" x14ac:dyDescent="0.2">
      <c r="A71" s="1">
        <v>39386</v>
      </c>
      <c r="B71">
        <v>102.900608519269</v>
      </c>
      <c r="C71">
        <v>68.017716059999998</v>
      </c>
      <c r="D71">
        <v>58.9</v>
      </c>
      <c r="E71">
        <v>82</v>
      </c>
      <c r="F71">
        <v>4659.5301689999997</v>
      </c>
      <c r="G71">
        <v>5150.6450860000004</v>
      </c>
      <c r="H71">
        <v>83699</v>
      </c>
      <c r="I71">
        <v>85177</v>
      </c>
      <c r="J71">
        <v>3758.97</v>
      </c>
      <c r="K71">
        <v>44.380299999999998</v>
      </c>
      <c r="L71">
        <v>18609.373017229998</v>
      </c>
      <c r="M71">
        <v>3.84</v>
      </c>
      <c r="N71">
        <v>3.77</v>
      </c>
      <c r="O71">
        <v>-0.29481132075467997</v>
      </c>
      <c r="P71">
        <v>-0.47086521483225302</v>
      </c>
      <c r="Q71">
        <f t="shared" si="23"/>
        <v>-0.29524674532736567</v>
      </c>
      <c r="R71">
        <f t="shared" si="13"/>
        <v>0.19286409123658479</v>
      </c>
      <c r="S71">
        <f t="shared" si="14"/>
        <v>4.6924333757895642</v>
      </c>
      <c r="T71">
        <f t="shared" si="15"/>
        <v>1.3505423199806972</v>
      </c>
      <c r="U71">
        <f t="shared" si="16"/>
        <v>5.9726917318187365</v>
      </c>
      <c r="V71">
        <f t="shared" si="17"/>
        <v>8.228420302832296</v>
      </c>
      <c r="W71">
        <f t="shared" si="18"/>
        <v>3.4136822962895068</v>
      </c>
      <c r="X71">
        <f t="shared" si="19"/>
        <v>-11.346243145073313</v>
      </c>
      <c r="Y71">
        <f t="shared" si="20"/>
        <v>5.0767392740032351</v>
      </c>
      <c r="Z71">
        <f t="shared" si="21"/>
        <v>-3.870033655810337</v>
      </c>
      <c r="AA71">
        <f t="shared" si="22"/>
        <v>5.0368996735926075</v>
      </c>
      <c r="AB71">
        <f t="shared" si="24"/>
        <v>0.11999999999999966</v>
      </c>
      <c r="AC71">
        <f t="shared" si="25"/>
        <v>0.1339999999999999</v>
      </c>
    </row>
    <row r="72" spans="1:29" x14ac:dyDescent="0.2">
      <c r="A72" s="1">
        <v>39416</v>
      </c>
      <c r="B72">
        <v>100.953346855983</v>
      </c>
      <c r="C72">
        <v>68.279826720000003</v>
      </c>
      <c r="D72">
        <v>59.3</v>
      </c>
      <c r="E72">
        <v>83.1</v>
      </c>
      <c r="F72">
        <v>3964.8065750000001</v>
      </c>
      <c r="G72">
        <v>5084.2131060000002</v>
      </c>
      <c r="H72">
        <v>148342</v>
      </c>
      <c r="I72">
        <v>94249</v>
      </c>
      <c r="J72">
        <v>3578.55</v>
      </c>
      <c r="K72">
        <v>43.217599999999997</v>
      </c>
      <c r="L72">
        <v>19192.44181285</v>
      </c>
      <c r="M72">
        <v>3.08</v>
      </c>
      <c r="N72">
        <v>4.1100000000000003</v>
      </c>
      <c r="O72">
        <v>-1.8923713778829001</v>
      </c>
      <c r="P72">
        <v>-2.0661157024793702</v>
      </c>
      <c r="Q72">
        <f t="shared" si="23"/>
        <v>-1.9105058708135891</v>
      </c>
      <c r="R72">
        <f t="shared" si="13"/>
        <v>0.38461585993302366</v>
      </c>
      <c r="S72">
        <f t="shared" si="14"/>
        <v>0.67682153461388106</v>
      </c>
      <c r="T72">
        <f t="shared" si="15"/>
        <v>1.3325454597149404</v>
      </c>
      <c r="U72">
        <f t="shared" si="16"/>
        <v>-16.145755015692696</v>
      </c>
      <c r="V72">
        <f t="shared" si="17"/>
        <v>-1.2981696805607339</v>
      </c>
      <c r="W72">
        <f t="shared" si="18"/>
        <v>57.22933887648778</v>
      </c>
      <c r="X72">
        <f t="shared" si="19"/>
        <v>10.120877185251443</v>
      </c>
      <c r="Y72">
        <f t="shared" si="20"/>
        <v>-4.9187293270543915</v>
      </c>
      <c r="Z72">
        <f t="shared" si="21"/>
        <v>-2.6547857593705055</v>
      </c>
      <c r="AA72">
        <f t="shared" si="22"/>
        <v>3.0851166501520431</v>
      </c>
      <c r="AB72">
        <f t="shared" si="24"/>
        <v>-0.75999999999999979</v>
      </c>
      <c r="AC72">
        <f t="shared" si="25"/>
        <v>0.3400000000000003</v>
      </c>
    </row>
    <row r="73" spans="1:29" x14ac:dyDescent="0.2">
      <c r="A73" s="1">
        <v>39447</v>
      </c>
      <c r="B73">
        <v>100.466531440162</v>
      </c>
      <c r="C73">
        <v>68.804048039999998</v>
      </c>
      <c r="D73">
        <v>63.9</v>
      </c>
      <c r="E73">
        <v>83.4</v>
      </c>
      <c r="F73">
        <v>4481.902591</v>
      </c>
      <c r="G73">
        <v>5000.6296629999997</v>
      </c>
      <c r="H73">
        <v>92262</v>
      </c>
      <c r="I73">
        <v>117308</v>
      </c>
      <c r="J73">
        <v>3621.6</v>
      </c>
      <c r="K73">
        <v>41.742899999999999</v>
      </c>
      <c r="L73">
        <v>22185.821704419999</v>
      </c>
      <c r="M73">
        <v>3.29</v>
      </c>
      <c r="N73">
        <v>4.2489999999999997</v>
      </c>
      <c r="O73">
        <v>-0.48221820373718899</v>
      </c>
      <c r="P73">
        <v>-2.9964747356051902</v>
      </c>
      <c r="Q73">
        <f t="shared" si="23"/>
        <v>-0.48338462703114982</v>
      </c>
      <c r="R73">
        <f t="shared" si="13"/>
        <v>0.76482208616898006</v>
      </c>
      <c r="S73">
        <f t="shared" si="14"/>
        <v>7.4710055379809317</v>
      </c>
      <c r="T73">
        <f t="shared" si="15"/>
        <v>0.36036075032986181</v>
      </c>
      <c r="U73">
        <f t="shared" si="16"/>
        <v>12.259057096987233</v>
      </c>
      <c r="V73">
        <f t="shared" si="17"/>
        <v>-1.6576432337951377</v>
      </c>
      <c r="W73">
        <f t="shared" si="18"/>
        <v>-47.488806299602324</v>
      </c>
      <c r="X73">
        <f t="shared" si="19"/>
        <v>21.88627383350978</v>
      </c>
      <c r="Y73">
        <f t="shared" si="20"/>
        <v>1.1958226705931525</v>
      </c>
      <c r="Z73">
        <f t="shared" si="21"/>
        <v>-3.4718442734803996</v>
      </c>
      <c r="AA73">
        <f t="shared" si="22"/>
        <v>14.493687693343466</v>
      </c>
      <c r="AB73">
        <f t="shared" si="24"/>
        <v>0.20999999999999996</v>
      </c>
      <c r="AC73">
        <f t="shared" si="25"/>
        <v>0.13899999999999935</v>
      </c>
    </row>
    <row r="74" spans="1:29" x14ac:dyDescent="0.2">
      <c r="A74" s="1">
        <v>39478</v>
      </c>
      <c r="B74">
        <v>101.805273833671</v>
      </c>
      <c r="C74">
        <v>69.786963009999994</v>
      </c>
      <c r="D74">
        <v>53.1</v>
      </c>
      <c r="E74">
        <v>83.9</v>
      </c>
      <c r="F74">
        <v>4230.5591850000001</v>
      </c>
      <c r="G74">
        <v>4995.7632800000001</v>
      </c>
      <c r="H74">
        <v>86991</v>
      </c>
      <c r="I74">
        <v>100926</v>
      </c>
      <c r="J74">
        <v>3266</v>
      </c>
      <c r="K74">
        <v>40.938099999999999</v>
      </c>
      <c r="L74">
        <v>20597.264964530001</v>
      </c>
      <c r="M74">
        <v>1.92</v>
      </c>
      <c r="N74">
        <v>3.613</v>
      </c>
      <c r="O74" s="2">
        <v>1.33252574197453</v>
      </c>
      <c r="P74">
        <v>-0.71216617210687105</v>
      </c>
      <c r="Q74">
        <f t="shared" si="23"/>
        <v>1.3237257066694592</v>
      </c>
      <c r="R74">
        <f t="shared" si="13"/>
        <v>1.4184634963297711</v>
      </c>
      <c r="S74">
        <f t="shared" si="14"/>
        <v>-18.514243313559597</v>
      </c>
      <c r="T74">
        <f t="shared" si="15"/>
        <v>0.59773041084593825</v>
      </c>
      <c r="U74">
        <f t="shared" si="16"/>
        <v>-5.7713462407951788</v>
      </c>
      <c r="V74">
        <f t="shared" si="17"/>
        <v>-9.736278700072086E-2</v>
      </c>
      <c r="W74">
        <f t="shared" si="18"/>
        <v>-5.8827690734031028</v>
      </c>
      <c r="X74">
        <f t="shared" si="19"/>
        <v>-15.04153794896548</v>
      </c>
      <c r="Y74">
        <f t="shared" si="20"/>
        <v>-10.334992259133834</v>
      </c>
      <c r="Z74">
        <f t="shared" si="21"/>
        <v>-1.9468207178188928</v>
      </c>
      <c r="AA74">
        <f t="shared" si="22"/>
        <v>-7.4295124614889296</v>
      </c>
      <c r="AB74">
        <f t="shared" si="24"/>
        <v>-1.37</v>
      </c>
      <c r="AC74">
        <f t="shared" si="25"/>
        <v>-0.63599999999999968</v>
      </c>
    </row>
    <row r="75" spans="1:29" x14ac:dyDescent="0.2">
      <c r="A75" s="1">
        <v>39507</v>
      </c>
      <c r="B75">
        <v>102.35294117647</v>
      </c>
      <c r="C75">
        <v>70.049073669999999</v>
      </c>
      <c r="D75">
        <v>53</v>
      </c>
      <c r="E75">
        <v>84.2</v>
      </c>
      <c r="F75">
        <v>4112.0117049999999</v>
      </c>
      <c r="G75">
        <v>4491.4602699999996</v>
      </c>
      <c r="H75">
        <v>81762</v>
      </c>
      <c r="I75">
        <v>100760</v>
      </c>
      <c r="J75">
        <v>3129.99</v>
      </c>
      <c r="K75">
        <v>40.671100000000003</v>
      </c>
      <c r="L75">
        <v>21046.969298510001</v>
      </c>
      <c r="M75">
        <v>1.81</v>
      </c>
      <c r="N75">
        <v>3.4390000000000001</v>
      </c>
      <c r="O75" s="2">
        <v>0.53795576808130197</v>
      </c>
      <c r="P75">
        <v>0.53795576808130197</v>
      </c>
      <c r="Q75">
        <f t="shared" si="23"/>
        <v>0.53651395460675999</v>
      </c>
      <c r="R75">
        <f t="shared" si="13"/>
        <v>0.37488328930475506</v>
      </c>
      <c r="S75">
        <f t="shared" si="14"/>
        <v>-0.18850146957713351</v>
      </c>
      <c r="T75">
        <f t="shared" si="15"/>
        <v>0.35693077751204366</v>
      </c>
      <c r="U75">
        <f t="shared" si="16"/>
        <v>-2.8421804661148764</v>
      </c>
      <c r="V75">
        <f t="shared" si="17"/>
        <v>-10.641233318448649</v>
      </c>
      <c r="W75">
        <f t="shared" si="18"/>
        <v>-6.1992077031841006</v>
      </c>
      <c r="X75">
        <f t="shared" si="19"/>
        <v>-0.16461235532906723</v>
      </c>
      <c r="Y75">
        <f t="shared" si="20"/>
        <v>-4.2536184889494191</v>
      </c>
      <c r="Z75">
        <f t="shared" si="21"/>
        <v>-0.65434032598806335</v>
      </c>
      <c r="AA75">
        <f t="shared" si="22"/>
        <v>2.1598275176136847</v>
      </c>
      <c r="AB75">
        <f t="shared" si="24"/>
        <v>-0.10999999999999988</v>
      </c>
      <c r="AC75">
        <f t="shared" si="25"/>
        <v>-0.17399999999999993</v>
      </c>
    </row>
    <row r="76" spans="1:29" x14ac:dyDescent="0.2">
      <c r="A76" s="1">
        <v>39538</v>
      </c>
      <c r="B76">
        <v>103.38742393509099</v>
      </c>
      <c r="C76">
        <v>70.573294989999994</v>
      </c>
      <c r="D76">
        <v>53.6</v>
      </c>
      <c r="E76">
        <v>86.5</v>
      </c>
      <c r="F76">
        <v>4200.129457</v>
      </c>
      <c r="G76">
        <v>5123.0107930000004</v>
      </c>
      <c r="H76">
        <v>84763</v>
      </c>
      <c r="I76">
        <v>103389</v>
      </c>
      <c r="J76">
        <v>2984.67</v>
      </c>
      <c r="K76">
        <v>41.252400000000002</v>
      </c>
      <c r="L76">
        <v>20838.398145430001</v>
      </c>
      <c r="M76">
        <v>1.36</v>
      </c>
      <c r="N76">
        <v>3.403</v>
      </c>
      <c r="O76" s="2">
        <v>1.01070154577884</v>
      </c>
      <c r="P76">
        <v>0.59206631142690203</v>
      </c>
      <c r="Q76">
        <f t="shared" si="23"/>
        <v>1.0056281139041641</v>
      </c>
      <c r="R76">
        <f t="shared" si="13"/>
        <v>0.74557661541420206</v>
      </c>
      <c r="S76">
        <f t="shared" si="14"/>
        <v>1.1257154524634467</v>
      </c>
      <c r="T76">
        <f t="shared" si="15"/>
        <v>2.6949492689552579</v>
      </c>
      <c r="U76">
        <f t="shared" si="16"/>
        <v>2.1202973214033638</v>
      </c>
      <c r="V76">
        <f t="shared" si="17"/>
        <v>13.156443567745866</v>
      </c>
      <c r="W76">
        <f t="shared" si="18"/>
        <v>3.6046538831803727</v>
      </c>
      <c r="X76">
        <f t="shared" si="19"/>
        <v>2.5757121952125579</v>
      </c>
      <c r="Y76">
        <f t="shared" si="20"/>
        <v>-4.754062168944011</v>
      </c>
      <c r="Z76">
        <f t="shared" si="21"/>
        <v>1.4191526389641183</v>
      </c>
      <c r="AA76">
        <f t="shared" si="22"/>
        <v>-0.99592239367903967</v>
      </c>
      <c r="AB76">
        <f t="shared" si="24"/>
        <v>-0.44999999999999996</v>
      </c>
      <c r="AC76">
        <f t="shared" si="25"/>
        <v>-3.6000000000000032E-2</v>
      </c>
    </row>
    <row r="77" spans="1:29" x14ac:dyDescent="0.2">
      <c r="A77" s="1">
        <v>39568</v>
      </c>
      <c r="B77">
        <v>103.448275862069</v>
      </c>
      <c r="C77">
        <v>71.621737620000005</v>
      </c>
      <c r="D77">
        <v>56.7</v>
      </c>
      <c r="E77">
        <v>88.2</v>
      </c>
      <c r="F77">
        <v>4327.4755850000001</v>
      </c>
      <c r="G77">
        <v>4856.9576399999996</v>
      </c>
      <c r="H77">
        <v>122030</v>
      </c>
      <c r="I77">
        <v>96268</v>
      </c>
      <c r="J77">
        <v>2749.77</v>
      </c>
      <c r="K77">
        <v>41.819600000000001</v>
      </c>
      <c r="L77">
        <v>20894.039061830001</v>
      </c>
      <c r="M77">
        <v>1.41</v>
      </c>
      <c r="N77">
        <v>3.3929999999999998</v>
      </c>
      <c r="O77">
        <v>5.8858151854043701E-2</v>
      </c>
      <c r="P77">
        <v>0.413467217956277</v>
      </c>
      <c r="Q77">
        <f t="shared" si="23"/>
        <v>5.8840837237845688E-2</v>
      </c>
      <c r="R77">
        <f t="shared" si="13"/>
        <v>1.4746810925123888</v>
      </c>
      <c r="S77">
        <f t="shared" si="14"/>
        <v>5.6225142656950009</v>
      </c>
      <c r="T77">
        <f t="shared" si="15"/>
        <v>1.9462549074912028</v>
      </c>
      <c r="U77">
        <f t="shared" si="16"/>
        <v>2.986901831723892</v>
      </c>
      <c r="V77">
        <f t="shared" si="17"/>
        <v>-5.3330069835628633</v>
      </c>
      <c r="W77">
        <f t="shared" si="18"/>
        <v>36.440778931620564</v>
      </c>
      <c r="X77">
        <f t="shared" si="19"/>
        <v>-7.1362604766377142</v>
      </c>
      <c r="Y77">
        <f t="shared" si="20"/>
        <v>-8.1971916152211204</v>
      </c>
      <c r="Z77">
        <f t="shared" si="21"/>
        <v>1.3655836246838571</v>
      </c>
      <c r="AA77">
        <f t="shared" si="22"/>
        <v>0.26665564291551658</v>
      </c>
      <c r="AB77">
        <f t="shared" si="24"/>
        <v>4.9999999999999822E-2</v>
      </c>
      <c r="AC77">
        <f t="shared" si="25"/>
        <v>-1.0000000000000231E-2</v>
      </c>
    </row>
    <row r="78" spans="1:29" x14ac:dyDescent="0.2">
      <c r="A78" s="1">
        <v>39599</v>
      </c>
      <c r="B78">
        <v>105.395537525355</v>
      </c>
      <c r="C78">
        <v>72.473597269999999</v>
      </c>
      <c r="D78">
        <v>57.5</v>
      </c>
      <c r="E78">
        <v>91.1</v>
      </c>
      <c r="F78">
        <v>4225.3821019999996</v>
      </c>
      <c r="G78">
        <v>4775.6821540000001</v>
      </c>
      <c r="H78">
        <v>106879</v>
      </c>
      <c r="I78">
        <v>99853</v>
      </c>
      <c r="J78">
        <v>2827.44</v>
      </c>
      <c r="K78">
        <v>42.902000000000001</v>
      </c>
      <c r="L78">
        <v>20309.961994249999</v>
      </c>
      <c r="M78">
        <v>1.85</v>
      </c>
      <c r="N78">
        <v>3.4969999999999999</v>
      </c>
      <c r="O78" s="2">
        <v>1.8823529411764599</v>
      </c>
      <c r="P78">
        <v>2.6066350710900901</v>
      </c>
      <c r="Q78">
        <f t="shared" si="23"/>
        <v>1.8648559078072995</v>
      </c>
      <c r="R78">
        <f t="shared" si="13"/>
        <v>1.1823694011657548</v>
      </c>
      <c r="S78">
        <f t="shared" si="14"/>
        <v>1.4010737069598369</v>
      </c>
      <c r="T78">
        <f t="shared" si="15"/>
        <v>3.2350841253166873</v>
      </c>
      <c r="U78">
        <f t="shared" si="16"/>
        <v>-2.3874671163745802</v>
      </c>
      <c r="V78">
        <f t="shared" si="17"/>
        <v>-1.6875418686902293</v>
      </c>
      <c r="W78">
        <f t="shared" si="18"/>
        <v>-13.256956268660804</v>
      </c>
      <c r="X78">
        <f t="shared" si="19"/>
        <v>3.6563135807923759</v>
      </c>
      <c r="Y78">
        <f t="shared" si="20"/>
        <v>2.7854436806708573</v>
      </c>
      <c r="Z78">
        <f t="shared" si="21"/>
        <v>2.5553315740696636</v>
      </c>
      <c r="AA78">
        <f t="shared" si="22"/>
        <v>-2.8352401629432396</v>
      </c>
      <c r="AB78">
        <f t="shared" si="24"/>
        <v>0.44000000000000017</v>
      </c>
      <c r="AC78">
        <f t="shared" si="25"/>
        <v>0.10400000000000009</v>
      </c>
    </row>
    <row r="79" spans="1:29" x14ac:dyDescent="0.2">
      <c r="A79" s="1">
        <v>39629</v>
      </c>
      <c r="B79">
        <v>107.586206896551</v>
      </c>
      <c r="C79">
        <v>73.653095230000005</v>
      </c>
      <c r="D79">
        <v>57.9</v>
      </c>
      <c r="E79">
        <v>95.2</v>
      </c>
      <c r="F79">
        <v>4527.0221289999999</v>
      </c>
      <c r="G79">
        <v>5322.2498679999999</v>
      </c>
      <c r="H79">
        <v>87564</v>
      </c>
      <c r="I79">
        <v>86795</v>
      </c>
      <c r="J79">
        <v>2459.98</v>
      </c>
      <c r="K79">
        <v>44.2806</v>
      </c>
      <c r="L79">
        <v>19965.551933409999</v>
      </c>
      <c r="M79">
        <v>1.87</v>
      </c>
      <c r="N79">
        <v>3.8109999999999999</v>
      </c>
      <c r="O79" s="2">
        <v>2.0785219399537498</v>
      </c>
      <c r="P79">
        <v>4.5535186280306998</v>
      </c>
      <c r="Q79">
        <f t="shared" si="23"/>
        <v>2.0572154075201357</v>
      </c>
      <c r="R79">
        <f t="shared" si="13"/>
        <v>1.6143848284197335</v>
      </c>
      <c r="S79">
        <f t="shared" si="14"/>
        <v>0.69324367756446759</v>
      </c>
      <c r="T79">
        <f t="shared" si="15"/>
        <v>4.402213753140698</v>
      </c>
      <c r="U79">
        <f t="shared" si="16"/>
        <v>6.8954661605040632</v>
      </c>
      <c r="V79">
        <f t="shared" si="17"/>
        <v>10.835929826647952</v>
      </c>
      <c r="W79">
        <f t="shared" si="18"/>
        <v>-19.932739888565681</v>
      </c>
      <c r="X79">
        <f t="shared" si="19"/>
        <v>-14.015008815756916</v>
      </c>
      <c r="Y79">
        <f t="shared" si="20"/>
        <v>-13.921848879391518</v>
      </c>
      <c r="Z79">
        <f t="shared" si="21"/>
        <v>3.1628212990224487</v>
      </c>
      <c r="AA79">
        <f t="shared" si="22"/>
        <v>-1.7103119125519433</v>
      </c>
      <c r="AB79">
        <f t="shared" si="24"/>
        <v>2.0000000000000018E-2</v>
      </c>
      <c r="AC79">
        <f t="shared" si="25"/>
        <v>0.31400000000000006</v>
      </c>
    </row>
    <row r="80" spans="1:29" x14ac:dyDescent="0.2">
      <c r="A80" s="1">
        <v>39660</v>
      </c>
      <c r="B80">
        <v>109.168356997971</v>
      </c>
      <c r="C80">
        <v>74.57048254</v>
      </c>
      <c r="D80">
        <v>59.6</v>
      </c>
      <c r="E80">
        <v>97.1</v>
      </c>
      <c r="F80">
        <v>4437.2341239999996</v>
      </c>
      <c r="G80">
        <v>5882.3575559999999</v>
      </c>
      <c r="H80">
        <v>101417</v>
      </c>
      <c r="I80">
        <v>116846</v>
      </c>
      <c r="J80">
        <v>2577.1</v>
      </c>
      <c r="K80">
        <v>44.956400000000002</v>
      </c>
      <c r="L80">
        <v>20446.166757660001</v>
      </c>
      <c r="M80">
        <v>1.65</v>
      </c>
      <c r="N80">
        <v>3.968</v>
      </c>
      <c r="O80" s="2">
        <v>1.47058823529413</v>
      </c>
      <c r="P80">
        <v>5.6537102473498102</v>
      </c>
      <c r="Q80">
        <f t="shared" si="23"/>
        <v>1.4598799421153945</v>
      </c>
      <c r="R80">
        <f t="shared" si="13"/>
        <v>1.2378584271056803</v>
      </c>
      <c r="S80">
        <f t="shared" si="14"/>
        <v>2.8938189492354547</v>
      </c>
      <c r="T80">
        <f t="shared" si="15"/>
        <v>1.9761433499959526</v>
      </c>
      <c r="U80">
        <f t="shared" si="16"/>
        <v>-2.0033119379866648</v>
      </c>
      <c r="V80">
        <f t="shared" si="17"/>
        <v>10.006150497939782</v>
      </c>
      <c r="W80">
        <f t="shared" si="18"/>
        <v>14.687077539338983</v>
      </c>
      <c r="X80">
        <f t="shared" si="19"/>
        <v>29.730781215716235</v>
      </c>
      <c r="Y80">
        <f t="shared" si="20"/>
        <v>4.6511515899216009</v>
      </c>
      <c r="Z80">
        <f t="shared" si="21"/>
        <v>1.5146473321055578</v>
      </c>
      <c r="AA80">
        <f t="shared" si="22"/>
        <v>2.378703512326712</v>
      </c>
      <c r="AB80">
        <f t="shared" si="24"/>
        <v>-0.2200000000000002</v>
      </c>
      <c r="AC80">
        <f t="shared" si="25"/>
        <v>0.15700000000000003</v>
      </c>
    </row>
    <row r="81" spans="1:29" x14ac:dyDescent="0.2">
      <c r="A81" s="1">
        <v>39691</v>
      </c>
      <c r="B81">
        <v>109.59432048681499</v>
      </c>
      <c r="C81">
        <v>74.898120860000006</v>
      </c>
      <c r="D81">
        <v>57.2</v>
      </c>
      <c r="E81">
        <v>95.2</v>
      </c>
      <c r="F81">
        <v>4394.4971480000004</v>
      </c>
      <c r="G81">
        <v>5044.1081860000004</v>
      </c>
      <c r="H81">
        <v>118877</v>
      </c>
      <c r="I81">
        <v>117194</v>
      </c>
      <c r="J81">
        <v>2688.09</v>
      </c>
      <c r="K81">
        <v>44.876899999999999</v>
      </c>
      <c r="L81">
        <v>19790.873630940001</v>
      </c>
      <c r="M81">
        <v>1.69</v>
      </c>
      <c r="N81">
        <v>4.2220000000000004</v>
      </c>
      <c r="O81">
        <v>0.39018952062429102</v>
      </c>
      <c r="P81">
        <v>6.3164108618653296</v>
      </c>
      <c r="Q81">
        <f t="shared" si="23"/>
        <v>0.38943025572162332</v>
      </c>
      <c r="R81">
        <f t="shared" si="13"/>
        <v>0.4384049055269495</v>
      </c>
      <c r="S81">
        <f t="shared" si="14"/>
        <v>-4.1101675685551804</v>
      </c>
      <c r="T81">
        <f t="shared" si="15"/>
        <v>-1.9761433499959478</v>
      </c>
      <c r="U81">
        <f t="shared" si="16"/>
        <v>-0.96781272589130107</v>
      </c>
      <c r="V81">
        <f t="shared" si="17"/>
        <v>-15.373676012530089</v>
      </c>
      <c r="W81">
        <f t="shared" si="18"/>
        <v>15.88486151545259</v>
      </c>
      <c r="X81">
        <f t="shared" si="19"/>
        <v>0.29738528155030741</v>
      </c>
      <c r="Y81">
        <f t="shared" si="20"/>
        <v>4.216616851410838</v>
      </c>
      <c r="Z81">
        <f t="shared" si="21"/>
        <v>-0.17699454601842721</v>
      </c>
      <c r="AA81">
        <f t="shared" si="22"/>
        <v>-3.2574516595323755</v>
      </c>
      <c r="AB81">
        <f t="shared" si="24"/>
        <v>4.0000000000000036E-2</v>
      </c>
      <c r="AC81">
        <f t="shared" si="25"/>
        <v>0.25400000000000045</v>
      </c>
    </row>
    <row r="82" spans="1:29" x14ac:dyDescent="0.2">
      <c r="A82" s="1">
        <v>39721</v>
      </c>
      <c r="B82">
        <v>109.95943204868099</v>
      </c>
      <c r="C82">
        <v>74.767065529999996</v>
      </c>
      <c r="D82">
        <v>60.1</v>
      </c>
      <c r="E82">
        <v>93.1</v>
      </c>
      <c r="F82">
        <v>4445.618966</v>
      </c>
      <c r="G82">
        <v>4891.0888199999999</v>
      </c>
      <c r="H82">
        <v>89637</v>
      </c>
      <c r="I82">
        <v>111265</v>
      </c>
      <c r="J82">
        <v>2569.65</v>
      </c>
      <c r="K82">
        <v>46.6922</v>
      </c>
      <c r="L82">
        <v>19724.846369080002</v>
      </c>
      <c r="M82">
        <v>0.9</v>
      </c>
      <c r="N82">
        <v>4.32</v>
      </c>
      <c r="O82" s="2">
        <v>0.33314825097174999</v>
      </c>
      <c r="P82">
        <v>6.5448113207547802</v>
      </c>
      <c r="Q82">
        <f t="shared" si="23"/>
        <v>0.33259454162713054</v>
      </c>
      <c r="R82">
        <f t="shared" si="13"/>
        <v>-0.17513139382348503</v>
      </c>
      <c r="S82">
        <f t="shared" si="14"/>
        <v>4.9455943155409603</v>
      </c>
      <c r="T82">
        <f t="shared" si="15"/>
        <v>-2.2305757514298392</v>
      </c>
      <c r="U82">
        <f t="shared" si="16"/>
        <v>1.1565999185958562</v>
      </c>
      <c r="V82">
        <f t="shared" si="17"/>
        <v>-3.0805925048431329</v>
      </c>
      <c r="W82">
        <f t="shared" si="18"/>
        <v>-28.232116394885402</v>
      </c>
      <c r="X82">
        <f t="shared" si="19"/>
        <v>-5.1915937875098548</v>
      </c>
      <c r="Y82">
        <f t="shared" si="20"/>
        <v>-4.506120138080572</v>
      </c>
      <c r="Z82">
        <f t="shared" si="21"/>
        <v>3.9653941425253936</v>
      </c>
      <c r="AA82">
        <f t="shared" si="22"/>
        <v>-0.3341825648537789</v>
      </c>
      <c r="AB82">
        <f t="shared" si="24"/>
        <v>-0.78999999999999992</v>
      </c>
      <c r="AC82">
        <f t="shared" si="25"/>
        <v>9.7999999999999865E-2</v>
      </c>
    </row>
    <row r="83" spans="1:29" x14ac:dyDescent="0.2">
      <c r="A83" s="1">
        <v>39752</v>
      </c>
      <c r="B83">
        <v>109.89858012170301</v>
      </c>
      <c r="C83">
        <v>74.636010200000001</v>
      </c>
      <c r="D83">
        <v>60.9</v>
      </c>
      <c r="E83">
        <v>89.5</v>
      </c>
      <c r="F83">
        <v>3990.058305</v>
      </c>
      <c r="G83">
        <v>4577.7411279999997</v>
      </c>
      <c r="H83">
        <v>92634</v>
      </c>
      <c r="I83">
        <v>101593</v>
      </c>
      <c r="J83">
        <v>1951.09</v>
      </c>
      <c r="K83">
        <v>48.025199999999998</v>
      </c>
      <c r="L83">
        <v>19490.782699060001</v>
      </c>
      <c r="M83">
        <v>0.44</v>
      </c>
      <c r="N83">
        <v>4.6059999999999999</v>
      </c>
      <c r="O83">
        <v>-5.5340343110138503E-2</v>
      </c>
      <c r="P83">
        <v>6.8007096392667199</v>
      </c>
      <c r="Q83">
        <f t="shared" si="23"/>
        <v>-5.5355661530048623E-2</v>
      </c>
      <c r="R83">
        <f t="shared" si="13"/>
        <v>-0.17543864204125181</v>
      </c>
      <c r="S83">
        <f t="shared" si="14"/>
        <v>1.3223333174689433</v>
      </c>
      <c r="T83">
        <f t="shared" si="15"/>
        <v>-3.9435559002211602</v>
      </c>
      <c r="U83">
        <f t="shared" si="16"/>
        <v>-10.81132656382902</v>
      </c>
      <c r="V83">
        <f t="shared" si="17"/>
        <v>-6.6209268310039944</v>
      </c>
      <c r="W83">
        <f t="shared" si="18"/>
        <v>3.2888063717299465</v>
      </c>
      <c r="X83">
        <f t="shared" si="19"/>
        <v>-9.0940108285044374</v>
      </c>
      <c r="Y83">
        <f t="shared" si="20"/>
        <v>-27.538151209578427</v>
      </c>
      <c r="Z83">
        <f t="shared" si="21"/>
        <v>2.8148745973345801</v>
      </c>
      <c r="AA83">
        <f t="shared" si="22"/>
        <v>-1.1937406340994876</v>
      </c>
      <c r="AB83">
        <f t="shared" si="24"/>
        <v>-0.46</v>
      </c>
      <c r="AC83">
        <f t="shared" si="25"/>
        <v>0.28599999999999959</v>
      </c>
    </row>
    <row r="84" spans="1:29" x14ac:dyDescent="0.2">
      <c r="A84" s="1">
        <v>39782</v>
      </c>
      <c r="B84">
        <v>109.350912778904</v>
      </c>
      <c r="C84">
        <v>74.504954870000006</v>
      </c>
      <c r="D84">
        <v>54.7</v>
      </c>
      <c r="E84">
        <v>86.8</v>
      </c>
      <c r="F84">
        <v>3512.9734800000001</v>
      </c>
      <c r="G84">
        <v>3484.6793769999999</v>
      </c>
      <c r="H84">
        <v>109040</v>
      </c>
      <c r="I84">
        <v>113380</v>
      </c>
      <c r="J84">
        <v>1971.57</v>
      </c>
      <c r="K84">
        <v>49.186199999999999</v>
      </c>
      <c r="L84">
        <v>20020.760870819999</v>
      </c>
      <c r="M84">
        <v>0.01</v>
      </c>
      <c r="N84">
        <v>5.306</v>
      </c>
      <c r="O84">
        <v>-0.498338870431903</v>
      </c>
      <c r="P84">
        <v>8.3182640144665498</v>
      </c>
      <c r="Q84">
        <f t="shared" si="23"/>
        <v>-0.49958471933699922</v>
      </c>
      <c r="R84">
        <f t="shared" si="13"/>
        <v>-0.17574697021844998</v>
      </c>
      <c r="S84">
        <f t="shared" si="14"/>
        <v>-10.736946528791581</v>
      </c>
      <c r="T84">
        <f t="shared" si="15"/>
        <v>-3.0632003614505225</v>
      </c>
      <c r="U84">
        <f t="shared" si="16"/>
        <v>-12.734301942509637</v>
      </c>
      <c r="V84">
        <f t="shared" si="17"/>
        <v>-27.282963384847907</v>
      </c>
      <c r="W84">
        <f t="shared" si="18"/>
        <v>16.305854250043257</v>
      </c>
      <c r="X84">
        <f t="shared" si="19"/>
        <v>10.977037376312264</v>
      </c>
      <c r="Y84">
        <f t="shared" si="20"/>
        <v>1.0441988898496151</v>
      </c>
      <c r="Z84">
        <f t="shared" si="21"/>
        <v>2.3887223205716639</v>
      </c>
      <c r="AA84">
        <f t="shared" si="22"/>
        <v>2.6828106979532489</v>
      </c>
      <c r="AB84">
        <f t="shared" si="24"/>
        <v>-0.43</v>
      </c>
      <c r="AC84">
        <f t="shared" si="25"/>
        <v>0.70000000000000018</v>
      </c>
    </row>
    <row r="85" spans="1:29" x14ac:dyDescent="0.2">
      <c r="A85" s="1">
        <v>39813</v>
      </c>
      <c r="B85">
        <v>107.76876267748401</v>
      </c>
      <c r="C85">
        <v>74.17731655</v>
      </c>
      <c r="D85">
        <v>53.5</v>
      </c>
      <c r="E85">
        <v>84.9</v>
      </c>
      <c r="F85">
        <v>2674.5783230000002</v>
      </c>
      <c r="G85">
        <v>3300.9612980000002</v>
      </c>
      <c r="H85">
        <v>121311</v>
      </c>
      <c r="I85">
        <v>122753</v>
      </c>
      <c r="J85">
        <v>1872.85</v>
      </c>
      <c r="K85">
        <v>48.094200000000001</v>
      </c>
      <c r="L85">
        <v>22347.00190734</v>
      </c>
      <c r="M85">
        <v>0.11</v>
      </c>
      <c r="N85">
        <v>5.3460000000000001</v>
      </c>
      <c r="O85">
        <v>-1.44685587089595</v>
      </c>
      <c r="P85">
        <v>7.2683222289521296</v>
      </c>
      <c r="Q85">
        <f t="shared" si="23"/>
        <v>-1.4574249000726718</v>
      </c>
      <c r="R85">
        <f t="shared" si="13"/>
        <v>-0.44072349339336236</v>
      </c>
      <c r="S85">
        <f t="shared" si="14"/>
        <v>-2.2182055525974755</v>
      </c>
      <c r="T85">
        <f t="shared" si="15"/>
        <v>-2.2132528349002789</v>
      </c>
      <c r="U85">
        <f t="shared" si="16"/>
        <v>-27.267109249147865</v>
      </c>
      <c r="V85">
        <f t="shared" si="17"/>
        <v>-5.4162310642952534</v>
      </c>
      <c r="W85">
        <f t="shared" si="18"/>
        <v>10.664270870407476</v>
      </c>
      <c r="X85">
        <f t="shared" si="19"/>
        <v>7.9429197398356033</v>
      </c>
      <c r="Y85">
        <f t="shared" si="20"/>
        <v>-5.1368844834662228</v>
      </c>
      <c r="Z85">
        <f t="shared" si="21"/>
        <v>-2.2451508628797785</v>
      </c>
      <c r="AA85">
        <f t="shared" si="22"/>
        <v>10.992239051295218</v>
      </c>
      <c r="AB85">
        <f t="shared" si="24"/>
        <v>0.1</v>
      </c>
      <c r="AC85">
        <f t="shared" si="25"/>
        <v>4.0000000000000036E-2</v>
      </c>
    </row>
    <row r="86" spans="1:29" x14ac:dyDescent="0.2">
      <c r="A86" s="1">
        <v>39844</v>
      </c>
      <c r="B86">
        <v>104.7261663286</v>
      </c>
      <c r="C86">
        <v>74.767065529999996</v>
      </c>
      <c r="D86">
        <v>37.9</v>
      </c>
      <c r="E86">
        <v>83.4</v>
      </c>
      <c r="F86">
        <v>2512.962951</v>
      </c>
      <c r="G86">
        <v>3269.9377260000001</v>
      </c>
      <c r="H86">
        <v>78466</v>
      </c>
      <c r="I86">
        <v>116520</v>
      </c>
      <c r="J86">
        <v>1825.09</v>
      </c>
      <c r="K86">
        <v>47.2072</v>
      </c>
      <c r="L86">
        <v>21514.533013259999</v>
      </c>
      <c r="M86">
        <v>0.24</v>
      </c>
      <c r="N86">
        <v>3.4350000000000001</v>
      </c>
      <c r="O86">
        <v>-2.8232636928289199</v>
      </c>
      <c r="P86">
        <v>2.8690974297668799</v>
      </c>
      <c r="Q86">
        <f t="shared" si="23"/>
        <v>-2.8638841571290738</v>
      </c>
      <c r="R86">
        <f t="shared" si="13"/>
        <v>0.79190910565306649</v>
      </c>
      <c r="S86">
        <f t="shared" si="14"/>
        <v>-34.473054181358023</v>
      </c>
      <c r="T86">
        <f t="shared" si="15"/>
        <v>-1.7825783952600573</v>
      </c>
      <c r="U86">
        <f t="shared" si="16"/>
        <v>-6.2329216144338426</v>
      </c>
      <c r="V86">
        <f t="shared" si="17"/>
        <v>-0.94427877852389186</v>
      </c>
      <c r="W86">
        <f t="shared" si="18"/>
        <v>-43.569208614709851</v>
      </c>
      <c r="X86">
        <f t="shared" si="19"/>
        <v>-5.2111274203279736</v>
      </c>
      <c r="Y86">
        <f t="shared" si="20"/>
        <v>-2.583203394348994</v>
      </c>
      <c r="Z86">
        <f t="shared" si="21"/>
        <v>-1.8615164389538679</v>
      </c>
      <c r="AA86">
        <f t="shared" si="22"/>
        <v>-3.7963508328643099</v>
      </c>
      <c r="AB86">
        <f t="shared" si="24"/>
        <v>0.13</v>
      </c>
      <c r="AC86">
        <f t="shared" si="25"/>
        <v>-1.911</v>
      </c>
    </row>
    <row r="87" spans="1:29" x14ac:dyDescent="0.2">
      <c r="A87" s="1">
        <v>39872</v>
      </c>
      <c r="B87">
        <v>103.75253549695699</v>
      </c>
      <c r="C87">
        <v>75.094703859999996</v>
      </c>
      <c r="D87">
        <v>40.1</v>
      </c>
      <c r="E87">
        <v>83</v>
      </c>
      <c r="F87">
        <v>2506.323003</v>
      </c>
      <c r="G87">
        <v>3058.781168</v>
      </c>
      <c r="H87">
        <v>80965</v>
      </c>
      <c r="I87">
        <v>109958</v>
      </c>
      <c r="J87">
        <v>1872.22</v>
      </c>
      <c r="K87">
        <v>47.584600000000002</v>
      </c>
      <c r="L87">
        <v>21385.647776810001</v>
      </c>
      <c r="M87">
        <v>0.26</v>
      </c>
      <c r="N87">
        <v>3.5630000000000002</v>
      </c>
      <c r="O87">
        <v>-0.92969203951190904</v>
      </c>
      <c r="P87">
        <v>1.36741973840664</v>
      </c>
      <c r="Q87">
        <f t="shared" si="23"/>
        <v>-0.93404064939223397</v>
      </c>
      <c r="R87">
        <f t="shared" si="13"/>
        <v>0.43725474929051805</v>
      </c>
      <c r="S87">
        <f t="shared" si="14"/>
        <v>5.6425222224142981</v>
      </c>
      <c r="T87">
        <f t="shared" si="15"/>
        <v>-0.4807701568103232</v>
      </c>
      <c r="U87">
        <f t="shared" si="16"/>
        <v>-0.26457754884763512</v>
      </c>
      <c r="V87">
        <f t="shared" si="17"/>
        <v>-6.6754415184887703</v>
      </c>
      <c r="W87">
        <f t="shared" si="18"/>
        <v>3.1351552580180657</v>
      </c>
      <c r="X87">
        <f t="shared" si="19"/>
        <v>-5.7964457391757565</v>
      </c>
      <c r="Y87">
        <f t="shared" si="20"/>
        <v>2.5495591630826926</v>
      </c>
      <c r="Z87">
        <f t="shared" si="21"/>
        <v>0.79627561476922604</v>
      </c>
      <c r="AA87">
        <f t="shared" si="22"/>
        <v>-0.60086284880268315</v>
      </c>
      <c r="AB87">
        <f t="shared" si="24"/>
        <v>2.0000000000000018E-2</v>
      </c>
      <c r="AC87">
        <f t="shared" si="25"/>
        <v>0.12800000000000011</v>
      </c>
    </row>
    <row r="88" spans="1:29" x14ac:dyDescent="0.2">
      <c r="A88" s="1">
        <v>39903</v>
      </c>
      <c r="B88">
        <v>103.813387423935</v>
      </c>
      <c r="C88">
        <v>75.225759190000005</v>
      </c>
      <c r="D88">
        <v>45.4</v>
      </c>
      <c r="E88">
        <v>82.7</v>
      </c>
      <c r="F88">
        <v>2906.7450640000002</v>
      </c>
      <c r="G88">
        <v>3269.8325100000002</v>
      </c>
      <c r="H88">
        <v>75928</v>
      </c>
      <c r="I88">
        <v>128567</v>
      </c>
      <c r="J88">
        <v>1986.22</v>
      </c>
      <c r="K88">
        <v>48.457999999999998</v>
      </c>
      <c r="L88">
        <v>21530.302283010002</v>
      </c>
      <c r="M88">
        <v>0.21</v>
      </c>
      <c r="N88">
        <v>2.8380000000000001</v>
      </c>
      <c r="O88">
        <v>5.8651026392973801E-2</v>
      </c>
      <c r="P88">
        <v>0.41200706297820899</v>
      </c>
      <c r="Q88">
        <f t="shared" si="23"/>
        <v>5.8633833401028033E-2</v>
      </c>
      <c r="R88">
        <f t="shared" si="13"/>
        <v>0.17436796101628049</v>
      </c>
      <c r="S88">
        <f t="shared" si="14"/>
        <v>12.413577073477869</v>
      </c>
      <c r="T88">
        <f t="shared" si="15"/>
        <v>-0.36210057669522933</v>
      </c>
      <c r="U88">
        <f t="shared" si="16"/>
        <v>14.821718042111403</v>
      </c>
      <c r="V88">
        <f t="shared" si="17"/>
        <v>6.6722237907640309</v>
      </c>
      <c r="W88">
        <f t="shared" si="18"/>
        <v>-6.423143969724304</v>
      </c>
      <c r="X88">
        <f t="shared" si="19"/>
        <v>15.635169453185316</v>
      </c>
      <c r="Y88">
        <f t="shared" si="20"/>
        <v>5.9108442398005492</v>
      </c>
      <c r="Z88">
        <f t="shared" si="21"/>
        <v>1.8188263906558495</v>
      </c>
      <c r="AA88">
        <f t="shared" si="22"/>
        <v>0.67413189651502592</v>
      </c>
      <c r="AB88">
        <f t="shared" si="24"/>
        <v>-5.0000000000000017E-2</v>
      </c>
      <c r="AC88">
        <f t="shared" si="25"/>
        <v>-0.72500000000000009</v>
      </c>
    </row>
    <row r="89" spans="1:29" x14ac:dyDescent="0.2">
      <c r="A89" s="1">
        <v>39933</v>
      </c>
      <c r="B89">
        <v>104.543610547667</v>
      </c>
      <c r="C89">
        <v>75.618925180000005</v>
      </c>
      <c r="D89">
        <v>44.5</v>
      </c>
      <c r="E89">
        <v>83.5</v>
      </c>
      <c r="F89">
        <v>2803.7720629999999</v>
      </c>
      <c r="G89">
        <v>3057.2309580000001</v>
      </c>
      <c r="H89">
        <v>116581</v>
      </c>
      <c r="I89">
        <v>108677</v>
      </c>
      <c r="J89">
        <v>2103.5</v>
      </c>
      <c r="K89">
        <v>48.216500000000003</v>
      </c>
      <c r="L89">
        <v>21617.37454646</v>
      </c>
      <c r="M89">
        <v>0.14000000000000001</v>
      </c>
      <c r="N89">
        <v>2.6680000000000001</v>
      </c>
      <c r="O89" s="2">
        <v>0.70339976553345795</v>
      </c>
      <c r="P89">
        <v>1.05882352941178</v>
      </c>
      <c r="Q89">
        <f t="shared" si="23"/>
        <v>0.70093744925739021</v>
      </c>
      <c r="R89">
        <f t="shared" si="13"/>
        <v>0.52128702044297892</v>
      </c>
      <c r="S89">
        <f t="shared" si="14"/>
        <v>-2.0022915875107703</v>
      </c>
      <c r="T89">
        <f t="shared" si="15"/>
        <v>0.96270298271642019</v>
      </c>
      <c r="U89">
        <f t="shared" si="16"/>
        <v>-3.6068244523487176</v>
      </c>
      <c r="V89">
        <f t="shared" si="17"/>
        <v>-6.7229172819233431</v>
      </c>
      <c r="W89">
        <f t="shared" si="18"/>
        <v>42.880078755307537</v>
      </c>
      <c r="X89">
        <f t="shared" si="19"/>
        <v>-16.806998902915165</v>
      </c>
      <c r="Y89">
        <f t="shared" si="20"/>
        <v>5.736928913260642</v>
      </c>
      <c r="Z89">
        <f t="shared" si="21"/>
        <v>-0.49961572566029</v>
      </c>
      <c r="AA89">
        <f t="shared" si="22"/>
        <v>0.40360171413440954</v>
      </c>
      <c r="AB89">
        <f t="shared" si="24"/>
        <v>-6.9999999999999979E-2</v>
      </c>
      <c r="AC89">
        <f t="shared" si="25"/>
        <v>-0.16999999999999993</v>
      </c>
    </row>
    <row r="90" spans="1:29" x14ac:dyDescent="0.2">
      <c r="A90" s="1">
        <v>39964</v>
      </c>
      <c r="B90">
        <v>104.847870182555</v>
      </c>
      <c r="C90">
        <v>75.618925180000005</v>
      </c>
      <c r="D90">
        <v>48.8</v>
      </c>
      <c r="E90">
        <v>84.4</v>
      </c>
      <c r="F90">
        <v>3088.029755</v>
      </c>
      <c r="G90">
        <v>3616.5853099999999</v>
      </c>
      <c r="H90">
        <v>104212</v>
      </c>
      <c r="I90">
        <v>115596</v>
      </c>
      <c r="J90">
        <v>2389.31</v>
      </c>
      <c r="K90">
        <v>47.5242</v>
      </c>
      <c r="L90">
        <v>22235.830229589999</v>
      </c>
      <c r="M90">
        <v>0.14000000000000001</v>
      </c>
      <c r="N90">
        <v>3.38</v>
      </c>
      <c r="O90" s="2">
        <v>0.29103608847493401</v>
      </c>
      <c r="P90">
        <v>-0.51963048498846298</v>
      </c>
      <c r="Q90">
        <f t="shared" si="23"/>
        <v>0.29061339837248545</v>
      </c>
      <c r="R90">
        <f t="shared" si="13"/>
        <v>0</v>
      </c>
      <c r="S90">
        <f t="shared" si="14"/>
        <v>9.2241123686906814</v>
      </c>
      <c r="T90">
        <f t="shared" si="15"/>
        <v>1.0720769745101695</v>
      </c>
      <c r="U90">
        <f t="shared" si="16"/>
        <v>9.6567591877436918</v>
      </c>
      <c r="V90">
        <f t="shared" si="17"/>
        <v>16.80207055398245</v>
      </c>
      <c r="W90">
        <f t="shared" si="18"/>
        <v>-11.215902454497346</v>
      </c>
      <c r="X90">
        <f t="shared" si="19"/>
        <v>6.1721173361308921</v>
      </c>
      <c r="Y90">
        <f t="shared" si="20"/>
        <v>12.740199728339704</v>
      </c>
      <c r="Z90">
        <f t="shared" si="21"/>
        <v>-1.4462231141482118</v>
      </c>
      <c r="AA90">
        <f t="shared" si="22"/>
        <v>2.8207593624162675</v>
      </c>
      <c r="AB90">
        <f t="shared" si="24"/>
        <v>0</v>
      </c>
      <c r="AC90">
        <f t="shared" si="25"/>
        <v>0.71199999999999974</v>
      </c>
    </row>
    <row r="91" spans="1:29" x14ac:dyDescent="0.2">
      <c r="A91" s="1">
        <v>39994</v>
      </c>
      <c r="B91">
        <v>106.18661257606399</v>
      </c>
      <c r="C91">
        <v>76.012091159999997</v>
      </c>
      <c r="D91">
        <v>49.3</v>
      </c>
      <c r="E91">
        <v>86.9</v>
      </c>
      <c r="F91">
        <v>3406.9127319999998</v>
      </c>
      <c r="G91">
        <v>4106.9441740000002</v>
      </c>
      <c r="H91">
        <v>89550</v>
      </c>
      <c r="I91">
        <v>119797</v>
      </c>
      <c r="J91">
        <v>2437.9899999999998</v>
      </c>
      <c r="K91">
        <v>47.905299999999997</v>
      </c>
      <c r="L91">
        <v>22040.90358849</v>
      </c>
      <c r="M91">
        <v>0.19</v>
      </c>
      <c r="N91">
        <v>2.6850000000000001</v>
      </c>
      <c r="O91">
        <v>1.2768427161926601</v>
      </c>
      <c r="P91">
        <v>-1.3009049773755501</v>
      </c>
      <c r="Q91">
        <f t="shared" si="23"/>
        <v>1.268759810859678</v>
      </c>
      <c r="R91">
        <f t="shared" si="13"/>
        <v>0.51858369165396512</v>
      </c>
      <c r="S91">
        <f t="shared" si="14"/>
        <v>1.0193768189543024</v>
      </c>
      <c r="T91">
        <f t="shared" si="15"/>
        <v>2.9190630669434814</v>
      </c>
      <c r="U91">
        <f t="shared" si="16"/>
        <v>9.8273256224690133</v>
      </c>
      <c r="V91">
        <f t="shared" si="17"/>
        <v>12.714894585738151</v>
      </c>
      <c r="W91">
        <f t="shared" si="18"/>
        <v>-15.163015732957225</v>
      </c>
      <c r="X91">
        <f t="shared" si="19"/>
        <v>3.5697290068085432</v>
      </c>
      <c r="Y91">
        <f t="shared" si="20"/>
        <v>2.0169307996108539</v>
      </c>
      <c r="Z91">
        <f t="shared" si="21"/>
        <v>0.79870904903979223</v>
      </c>
      <c r="AA91">
        <f t="shared" si="22"/>
        <v>-0.88049810200681</v>
      </c>
      <c r="AB91">
        <f t="shared" si="24"/>
        <v>4.9999999999999989E-2</v>
      </c>
      <c r="AC91">
        <f t="shared" si="25"/>
        <v>-0.69499999999999984</v>
      </c>
    </row>
    <row r="92" spans="1:29" x14ac:dyDescent="0.2">
      <c r="A92" s="1">
        <v>40025</v>
      </c>
      <c r="B92">
        <v>105.63894523326501</v>
      </c>
      <c r="C92">
        <v>76.208674160000001</v>
      </c>
      <c r="D92">
        <v>50.9</v>
      </c>
      <c r="E92">
        <v>86.3</v>
      </c>
      <c r="F92">
        <v>3313.3620620000002</v>
      </c>
      <c r="G92">
        <v>4025.9622450000002</v>
      </c>
      <c r="H92">
        <v>98398</v>
      </c>
      <c r="I92">
        <v>133028</v>
      </c>
      <c r="J92">
        <v>2798.33</v>
      </c>
      <c r="K92">
        <v>48.146000000000001</v>
      </c>
      <c r="L92">
        <v>22386.587514070001</v>
      </c>
      <c r="M92">
        <v>0.18</v>
      </c>
      <c r="N92">
        <v>2.3650000000000002</v>
      </c>
      <c r="O92">
        <v>-0.51575931232092698</v>
      </c>
      <c r="P92">
        <v>-3.23299888517281</v>
      </c>
      <c r="Q92">
        <f t="shared" si="23"/>
        <v>-0.51709394162301725</v>
      </c>
      <c r="R92">
        <f t="shared" si="13"/>
        <v>0.25828684920081235</v>
      </c>
      <c r="S92">
        <f t="shared" si="14"/>
        <v>3.1938842507832632</v>
      </c>
      <c r="T92">
        <f t="shared" si="15"/>
        <v>-0.69284341819642103</v>
      </c>
      <c r="U92">
        <f t="shared" si="16"/>
        <v>-2.7843121440799501</v>
      </c>
      <c r="V92">
        <f t="shared" si="17"/>
        <v>-1.991529261255875</v>
      </c>
      <c r="W92">
        <f t="shared" si="18"/>
        <v>9.4223350141675244</v>
      </c>
      <c r="X92">
        <f t="shared" si="19"/>
        <v>10.476098874841568</v>
      </c>
      <c r="Y92">
        <f t="shared" si="20"/>
        <v>13.784888134751158</v>
      </c>
      <c r="Z92">
        <f t="shared" si="21"/>
        <v>0.50119155878378185</v>
      </c>
      <c r="AA92">
        <f t="shared" si="22"/>
        <v>1.5562026725111113</v>
      </c>
      <c r="AB92">
        <f t="shared" si="24"/>
        <v>-1.0000000000000009E-2</v>
      </c>
      <c r="AC92">
        <f t="shared" si="25"/>
        <v>-0.31999999999999984</v>
      </c>
    </row>
    <row r="93" spans="1:29" x14ac:dyDescent="0.2">
      <c r="A93" s="1">
        <v>40056</v>
      </c>
      <c r="B93">
        <v>106.977687626774</v>
      </c>
      <c r="C93">
        <v>76.208674160000001</v>
      </c>
      <c r="D93">
        <v>50.6</v>
      </c>
      <c r="E93">
        <v>87.2</v>
      </c>
      <c r="F93">
        <v>3472.8932249999998</v>
      </c>
      <c r="G93">
        <v>3617.2931979999998</v>
      </c>
      <c r="H93">
        <v>95012</v>
      </c>
      <c r="I93">
        <v>116993</v>
      </c>
      <c r="J93">
        <v>2884.18</v>
      </c>
      <c r="K93">
        <v>48.160699999999999</v>
      </c>
      <c r="L93">
        <v>22369.155362050002</v>
      </c>
      <c r="M93">
        <v>0.15</v>
      </c>
      <c r="N93">
        <v>2.2200000000000002</v>
      </c>
      <c r="O93" s="2">
        <v>1.26728110599085</v>
      </c>
      <c r="P93">
        <v>-2.3875624652969898</v>
      </c>
      <c r="Q93">
        <f t="shared" si="23"/>
        <v>1.2593183024825596</v>
      </c>
      <c r="R93">
        <f t="shared" si="13"/>
        <v>0</v>
      </c>
      <c r="S93">
        <f t="shared" si="14"/>
        <v>-0.59113472630571262</v>
      </c>
      <c r="T93">
        <f t="shared" si="15"/>
        <v>1.0374732825551645</v>
      </c>
      <c r="U93">
        <f t="shared" si="16"/>
        <v>4.7024626389521087</v>
      </c>
      <c r="V93">
        <f t="shared" si="17"/>
        <v>-10.703793859424437</v>
      </c>
      <c r="W93">
        <f t="shared" si="18"/>
        <v>-3.5017279235549053</v>
      </c>
      <c r="X93">
        <f t="shared" si="19"/>
        <v>-12.844552843189074</v>
      </c>
      <c r="Y93">
        <f t="shared" si="20"/>
        <v>3.0217820114457501</v>
      </c>
      <c r="Z93">
        <f t="shared" si="21"/>
        <v>3.0527471326838026E-2</v>
      </c>
      <c r="AA93">
        <f t="shared" si="22"/>
        <v>-7.7899066270775863E-2</v>
      </c>
      <c r="AB93">
        <f t="shared" si="24"/>
        <v>-0.03</v>
      </c>
      <c r="AC93">
        <f t="shared" si="25"/>
        <v>-0.14500000000000002</v>
      </c>
    </row>
    <row r="94" spans="1:29" x14ac:dyDescent="0.2">
      <c r="A94" s="1">
        <v>40086</v>
      </c>
      <c r="B94">
        <v>105.943204868154</v>
      </c>
      <c r="C94">
        <v>76.470784820000006</v>
      </c>
      <c r="D94">
        <v>54.3</v>
      </c>
      <c r="E94">
        <v>87.1</v>
      </c>
      <c r="F94">
        <v>3637.6384069999999</v>
      </c>
      <c r="G94">
        <v>3669.9081700000002</v>
      </c>
      <c r="H94">
        <v>100695</v>
      </c>
      <c r="I94">
        <v>128207</v>
      </c>
      <c r="J94">
        <v>2800.82</v>
      </c>
      <c r="K94">
        <v>48.139400000000002</v>
      </c>
      <c r="L94">
        <v>23198.161502399998</v>
      </c>
      <c r="M94">
        <v>0.14000000000000001</v>
      </c>
      <c r="N94">
        <v>2.2970000000000002</v>
      </c>
      <c r="O94">
        <v>-0.96700796359500296</v>
      </c>
      <c r="P94">
        <v>-3.6524626452684101</v>
      </c>
      <c r="Q94">
        <f t="shared" si="23"/>
        <v>-0.97171384769268332</v>
      </c>
      <c r="R94">
        <f t="shared" si="13"/>
        <v>0.34334797784611443</v>
      </c>
      <c r="S94">
        <f t="shared" si="14"/>
        <v>7.0572650646469919</v>
      </c>
      <c r="T94">
        <f t="shared" si="15"/>
        <v>-0.11474470564769093</v>
      </c>
      <c r="U94">
        <f t="shared" si="16"/>
        <v>4.6346652832043906</v>
      </c>
      <c r="V94">
        <f t="shared" si="17"/>
        <v>1.4440629170016506</v>
      </c>
      <c r="W94">
        <f t="shared" si="18"/>
        <v>5.8092946645977568</v>
      </c>
      <c r="X94">
        <f t="shared" si="19"/>
        <v>9.1532041231914558</v>
      </c>
      <c r="Y94">
        <f t="shared" si="20"/>
        <v>-2.9328399340180309</v>
      </c>
      <c r="Z94">
        <f t="shared" si="21"/>
        <v>-4.4236714909631283E-2</v>
      </c>
      <c r="AA94">
        <f t="shared" si="22"/>
        <v>3.6390012776338234</v>
      </c>
      <c r="AB94">
        <f t="shared" si="24"/>
        <v>-9.9999999999999811E-3</v>
      </c>
      <c r="AC94">
        <f t="shared" si="25"/>
        <v>7.6999999999999957E-2</v>
      </c>
    </row>
    <row r="95" spans="1:29" x14ac:dyDescent="0.2">
      <c r="A95" s="1">
        <v>40117</v>
      </c>
      <c r="B95">
        <v>104.847870182555</v>
      </c>
      <c r="C95">
        <v>76.798423139999997</v>
      </c>
      <c r="D95">
        <v>57.3</v>
      </c>
      <c r="E95">
        <v>88</v>
      </c>
      <c r="F95">
        <v>3748.0949909999999</v>
      </c>
      <c r="G95">
        <v>3808.286396</v>
      </c>
      <c r="H95">
        <v>85581</v>
      </c>
      <c r="I95">
        <v>114126</v>
      </c>
      <c r="J95">
        <v>2908.5</v>
      </c>
      <c r="K95">
        <v>46.851300000000002</v>
      </c>
      <c r="L95">
        <v>23315.279253109999</v>
      </c>
      <c r="M95">
        <v>0.05</v>
      </c>
      <c r="N95">
        <v>2.2949999999999999</v>
      </c>
      <c r="O95">
        <v>-1.03388856978749</v>
      </c>
      <c r="P95">
        <v>-4.5957918050941498</v>
      </c>
      <c r="Q95">
        <f t="shared" si="23"/>
        <v>-1.039270324026536</v>
      </c>
      <c r="R95">
        <f t="shared" si="13"/>
        <v>0.42753377984067109</v>
      </c>
      <c r="S95">
        <f t="shared" si="14"/>
        <v>5.3776396780804205</v>
      </c>
      <c r="T95">
        <f t="shared" si="15"/>
        <v>1.0279930619749491</v>
      </c>
      <c r="U95">
        <f t="shared" si="16"/>
        <v>2.9913026697293104</v>
      </c>
      <c r="V95">
        <f t="shared" si="17"/>
        <v>3.7012683179611301</v>
      </c>
      <c r="W95">
        <f t="shared" si="18"/>
        <v>-16.263285016529796</v>
      </c>
      <c r="X95">
        <f t="shared" si="19"/>
        <v>-11.634304398125307</v>
      </c>
      <c r="Y95">
        <f t="shared" si="20"/>
        <v>3.7725252918946262</v>
      </c>
      <c r="Z95">
        <f t="shared" si="21"/>
        <v>-2.7122212197763611</v>
      </c>
      <c r="AA95">
        <f t="shared" si="22"/>
        <v>0.50358776438395403</v>
      </c>
      <c r="AB95">
        <f t="shared" si="24"/>
        <v>-9.0000000000000011E-2</v>
      </c>
      <c r="AC95">
        <f t="shared" si="25"/>
        <v>-2.0000000000002238E-3</v>
      </c>
    </row>
    <row r="96" spans="1:29" x14ac:dyDescent="0.2">
      <c r="A96" s="1">
        <v>40147</v>
      </c>
      <c r="B96">
        <v>105.51724137930999</v>
      </c>
      <c r="C96">
        <v>77.126061469999996</v>
      </c>
      <c r="D96">
        <v>57.9</v>
      </c>
      <c r="E96">
        <v>89.1</v>
      </c>
      <c r="F96">
        <v>3717.8289610000002</v>
      </c>
      <c r="G96">
        <v>3654.5140620000002</v>
      </c>
      <c r="H96">
        <v>96282</v>
      </c>
      <c r="I96">
        <v>102724</v>
      </c>
      <c r="J96">
        <v>3044.97</v>
      </c>
      <c r="K96">
        <v>47.032400000000003</v>
      </c>
      <c r="L96">
        <v>24471.562118099999</v>
      </c>
      <c r="M96">
        <v>0.06</v>
      </c>
      <c r="N96">
        <v>2.3820000000000001</v>
      </c>
      <c r="O96" s="2">
        <v>0.63842135809637701</v>
      </c>
      <c r="P96">
        <v>-3.5058430717862898</v>
      </c>
      <c r="Q96">
        <f t="shared" si="23"/>
        <v>0.6363920812561602</v>
      </c>
      <c r="R96">
        <f t="shared" si="13"/>
        <v>0.42571372014231806</v>
      </c>
      <c r="S96">
        <f t="shared" si="14"/>
        <v>1.04167608582558</v>
      </c>
      <c r="T96">
        <f t="shared" si="15"/>
        <v>1.2422519998557111</v>
      </c>
      <c r="U96">
        <f t="shared" si="16"/>
        <v>-0.81078232228802494</v>
      </c>
      <c r="V96">
        <f t="shared" si="17"/>
        <v>-4.121619034496411</v>
      </c>
      <c r="W96">
        <f t="shared" si="18"/>
        <v>11.781808955175118</v>
      </c>
      <c r="X96">
        <f t="shared" si="19"/>
        <v>-10.525732120531275</v>
      </c>
      <c r="Y96">
        <f t="shared" si="20"/>
        <v>4.5853564527898971</v>
      </c>
      <c r="Z96">
        <f t="shared" si="21"/>
        <v>0.38579694797549852</v>
      </c>
      <c r="AA96">
        <f t="shared" si="22"/>
        <v>4.8402805918757146</v>
      </c>
      <c r="AB96">
        <f t="shared" si="24"/>
        <v>9.999999999999995E-3</v>
      </c>
      <c r="AC96">
        <f t="shared" si="25"/>
        <v>8.7000000000000188E-2</v>
      </c>
    </row>
    <row r="97" spans="1:29" x14ac:dyDescent="0.2">
      <c r="A97" s="1">
        <v>40178</v>
      </c>
      <c r="B97">
        <v>105.395537525355</v>
      </c>
      <c r="C97">
        <v>77.453699790000002</v>
      </c>
      <c r="D97">
        <v>60</v>
      </c>
      <c r="E97">
        <v>89.7</v>
      </c>
      <c r="F97">
        <v>3321.2429459999998</v>
      </c>
      <c r="G97">
        <v>3936.2599639999999</v>
      </c>
      <c r="H97">
        <v>101541</v>
      </c>
      <c r="I97">
        <v>127550</v>
      </c>
      <c r="J97">
        <v>3052.68</v>
      </c>
      <c r="K97">
        <v>46.421100000000003</v>
      </c>
      <c r="L97">
        <v>26268.764730229999</v>
      </c>
      <c r="M97">
        <v>0.06</v>
      </c>
      <c r="N97">
        <v>2.677</v>
      </c>
      <c r="O97">
        <v>-0.11534025374858101</v>
      </c>
      <c r="P97">
        <v>-2.20214568040653</v>
      </c>
      <c r="Q97">
        <f t="shared" si="23"/>
        <v>-0.11540682181030826</v>
      </c>
      <c r="R97">
        <f t="shared" si="13"/>
        <v>0.42390906541012591</v>
      </c>
      <c r="S97">
        <f t="shared" si="14"/>
        <v>3.5627177643151251</v>
      </c>
      <c r="T97">
        <f t="shared" si="15"/>
        <v>0.67114345879869985</v>
      </c>
      <c r="U97">
        <f t="shared" si="16"/>
        <v>-11.28007910920075</v>
      </c>
      <c r="V97">
        <f t="shared" si="17"/>
        <v>7.4267891983466523</v>
      </c>
      <c r="W97">
        <f t="shared" si="18"/>
        <v>5.3181272361107261</v>
      </c>
      <c r="X97">
        <f t="shared" si="19"/>
        <v>21.646266459437406</v>
      </c>
      <c r="Y97">
        <f t="shared" si="20"/>
        <v>0.25288444265649612</v>
      </c>
      <c r="Z97">
        <f t="shared" si="21"/>
        <v>-1.3082628663557549</v>
      </c>
      <c r="AA97">
        <f t="shared" si="22"/>
        <v>7.0868867013658354</v>
      </c>
      <c r="AB97">
        <f t="shared" si="24"/>
        <v>0</v>
      </c>
      <c r="AC97">
        <f t="shared" si="25"/>
        <v>0.29499999999999993</v>
      </c>
    </row>
    <row r="98" spans="1:29" x14ac:dyDescent="0.2">
      <c r="A98" s="1">
        <v>40209</v>
      </c>
      <c r="B98">
        <v>104.300202839756</v>
      </c>
      <c r="C98">
        <v>77.650282779999998</v>
      </c>
      <c r="D98">
        <v>51.6</v>
      </c>
      <c r="E98">
        <v>90.3</v>
      </c>
      <c r="F98">
        <v>3579.4402380000001</v>
      </c>
      <c r="G98">
        <v>4310.2556919999997</v>
      </c>
      <c r="H98">
        <v>92265</v>
      </c>
      <c r="I98">
        <v>129390</v>
      </c>
      <c r="J98">
        <v>2953.19</v>
      </c>
      <c r="K98">
        <v>46.0276</v>
      </c>
      <c r="L98">
        <v>25134.28182489</v>
      </c>
      <c r="M98">
        <v>0.08</v>
      </c>
      <c r="N98">
        <v>3.0750000000000002</v>
      </c>
      <c r="O98">
        <v>-1.03926096997692</v>
      </c>
      <c r="P98">
        <v>-0.40674026728644802</v>
      </c>
      <c r="Q98">
        <f t="shared" si="23"/>
        <v>-1.0446989964661333</v>
      </c>
      <c r="R98">
        <f t="shared" si="13"/>
        <v>0.25348555466414269</v>
      </c>
      <c r="S98">
        <f t="shared" si="14"/>
        <v>-15.082288973458366</v>
      </c>
      <c r="T98">
        <f t="shared" si="15"/>
        <v>0.66666913581892973</v>
      </c>
      <c r="U98">
        <f t="shared" si="16"/>
        <v>7.4867335896351905</v>
      </c>
      <c r="V98">
        <f t="shared" si="17"/>
        <v>9.0766202872827115</v>
      </c>
      <c r="W98">
        <f t="shared" si="18"/>
        <v>-9.579778647794372</v>
      </c>
      <c r="X98">
        <f t="shared" si="19"/>
        <v>1.432265474004105</v>
      </c>
      <c r="Y98">
        <f t="shared" si="20"/>
        <v>-3.3133951283391263</v>
      </c>
      <c r="Z98">
        <f t="shared" si="21"/>
        <v>-0.8512880686930987</v>
      </c>
      <c r="AA98">
        <f t="shared" si="22"/>
        <v>-4.4147856497640765</v>
      </c>
      <c r="AB98">
        <f t="shared" si="24"/>
        <v>2.0000000000000004E-2</v>
      </c>
      <c r="AC98">
        <f t="shared" si="25"/>
        <v>0.39800000000000013</v>
      </c>
    </row>
    <row r="99" spans="1:29" x14ac:dyDescent="0.2">
      <c r="A99" s="1">
        <v>40237</v>
      </c>
      <c r="B99">
        <v>101.866125760649</v>
      </c>
      <c r="C99">
        <v>78.043448769999998</v>
      </c>
      <c r="D99">
        <v>53.2</v>
      </c>
      <c r="E99">
        <v>90.3</v>
      </c>
      <c r="F99">
        <v>3570.2284650000001</v>
      </c>
      <c r="G99">
        <v>3906.2504140000001</v>
      </c>
      <c r="H99">
        <v>76699</v>
      </c>
      <c r="I99">
        <v>109887</v>
      </c>
      <c r="J99">
        <v>3043.75</v>
      </c>
      <c r="K99">
        <v>46.311599999999999</v>
      </c>
      <c r="L99">
        <v>25797.876422130001</v>
      </c>
      <c r="M99">
        <v>0.13</v>
      </c>
      <c r="N99">
        <v>3.1389999999999998</v>
      </c>
      <c r="O99">
        <v>-2.3337222870478298</v>
      </c>
      <c r="P99">
        <v>-1.8181818181817999</v>
      </c>
      <c r="Q99">
        <f t="shared" si="23"/>
        <v>-2.3613848108299624</v>
      </c>
      <c r="R99">
        <f t="shared" si="13"/>
        <v>0.50505158019635332</v>
      </c>
      <c r="S99">
        <f t="shared" si="14"/>
        <v>3.05367238600817</v>
      </c>
      <c r="T99">
        <f t="shared" si="15"/>
        <v>0</v>
      </c>
      <c r="U99">
        <f t="shared" si="16"/>
        <v>-0.25768405446247816</v>
      </c>
      <c r="V99">
        <f t="shared" si="17"/>
        <v>-9.8419287159435189</v>
      </c>
      <c r="W99">
        <f t="shared" si="18"/>
        <v>-18.47762008498718</v>
      </c>
      <c r="X99">
        <f t="shared" si="19"/>
        <v>-16.337853426898139</v>
      </c>
      <c r="Y99">
        <f t="shared" si="20"/>
        <v>3.020436580901102</v>
      </c>
      <c r="Z99">
        <f t="shared" si="21"/>
        <v>0.61512531080354704</v>
      </c>
      <c r="AA99">
        <f t="shared" si="22"/>
        <v>2.6059455295640253</v>
      </c>
      <c r="AB99">
        <f t="shared" si="24"/>
        <v>0.05</v>
      </c>
      <c r="AC99">
        <f t="shared" si="25"/>
        <v>6.3999999999999613E-2</v>
      </c>
    </row>
    <row r="100" spans="1:29" x14ac:dyDescent="0.2">
      <c r="A100" s="1">
        <v>40268</v>
      </c>
      <c r="B100">
        <v>102.048681541582</v>
      </c>
      <c r="C100">
        <v>78.174504099999993</v>
      </c>
      <c r="D100">
        <v>57</v>
      </c>
      <c r="E100">
        <v>90.7</v>
      </c>
      <c r="F100">
        <v>4181.8036769999999</v>
      </c>
      <c r="G100">
        <v>4555.823918</v>
      </c>
      <c r="H100">
        <v>96860</v>
      </c>
      <c r="I100">
        <v>160726</v>
      </c>
      <c r="J100">
        <v>3161.8</v>
      </c>
      <c r="K100">
        <v>45.7425</v>
      </c>
      <c r="L100">
        <v>26941.374277229999</v>
      </c>
      <c r="M100">
        <v>0.16</v>
      </c>
      <c r="N100">
        <v>3.1520000000000001</v>
      </c>
      <c r="O100" s="2">
        <v>0.17921146953408601</v>
      </c>
      <c r="P100">
        <v>-1.6998827667056999</v>
      </c>
      <c r="Q100">
        <f t="shared" si="23"/>
        <v>0.17905107737876289</v>
      </c>
      <c r="R100">
        <f t="shared" si="13"/>
        <v>0.16778527478788585</v>
      </c>
      <c r="S100">
        <f t="shared" si="14"/>
        <v>6.8992871486951417</v>
      </c>
      <c r="T100">
        <f t="shared" si="15"/>
        <v>0.44198966981512855</v>
      </c>
      <c r="U100">
        <f t="shared" si="16"/>
        <v>15.811306559900745</v>
      </c>
      <c r="V100">
        <f t="shared" si="17"/>
        <v>15.382845597573084</v>
      </c>
      <c r="W100">
        <f t="shared" si="18"/>
        <v>23.337796649651356</v>
      </c>
      <c r="X100">
        <f t="shared" si="19"/>
        <v>38.024848675694997</v>
      </c>
      <c r="Y100">
        <f t="shared" si="20"/>
        <v>3.805117783118757</v>
      </c>
      <c r="Z100">
        <f t="shared" si="21"/>
        <v>-1.236462581251395</v>
      </c>
      <c r="AA100">
        <f t="shared" si="22"/>
        <v>4.3371002878726435</v>
      </c>
      <c r="AB100">
        <f t="shared" si="24"/>
        <v>0.03</v>
      </c>
      <c r="AC100">
        <f t="shared" si="25"/>
        <v>1.3000000000000345E-2</v>
      </c>
    </row>
    <row r="101" spans="1:29" x14ac:dyDescent="0.2">
      <c r="A101" s="1">
        <v>40298</v>
      </c>
      <c r="B101">
        <v>99.127789046653106</v>
      </c>
      <c r="C101">
        <v>78.633197760000002</v>
      </c>
      <c r="D101">
        <v>58.3</v>
      </c>
      <c r="E101">
        <v>91</v>
      </c>
      <c r="F101">
        <v>3611.6089000000002</v>
      </c>
      <c r="G101">
        <v>4568.3562760000004</v>
      </c>
      <c r="H101">
        <v>124468</v>
      </c>
      <c r="I101">
        <v>121869</v>
      </c>
      <c r="J101">
        <v>3290.09</v>
      </c>
      <c r="K101">
        <v>44.626600000000003</v>
      </c>
      <c r="L101">
        <v>27754.367426829998</v>
      </c>
      <c r="M101">
        <v>0.16</v>
      </c>
      <c r="N101">
        <v>2.9489999999999998</v>
      </c>
      <c r="O101">
        <v>-2.8622540250447401</v>
      </c>
      <c r="P101">
        <v>-5.1804423748544997</v>
      </c>
      <c r="Q101">
        <f t="shared" si="23"/>
        <v>-2.9040153221162655</v>
      </c>
      <c r="R101">
        <f t="shared" si="13"/>
        <v>0.58504137600437667</v>
      </c>
      <c r="S101">
        <f t="shared" si="14"/>
        <v>2.2550825521896396</v>
      </c>
      <c r="T101">
        <f t="shared" si="15"/>
        <v>0.3302149395759032</v>
      </c>
      <c r="U101">
        <f t="shared" si="16"/>
        <v>-14.658930341132123</v>
      </c>
      <c r="V101">
        <f t="shared" si="17"/>
        <v>0.27470667204483729</v>
      </c>
      <c r="W101">
        <f t="shared" si="18"/>
        <v>25.078201777984297</v>
      </c>
      <c r="X101">
        <f t="shared" si="19"/>
        <v>-27.675435447892372</v>
      </c>
      <c r="Y101">
        <f t="shared" si="20"/>
        <v>3.9773434346272332</v>
      </c>
      <c r="Z101">
        <f t="shared" si="21"/>
        <v>-2.4697750057795598</v>
      </c>
      <c r="AA101">
        <f t="shared" si="22"/>
        <v>2.973003036045248</v>
      </c>
      <c r="AB101">
        <f t="shared" si="24"/>
        <v>0</v>
      </c>
      <c r="AC101">
        <f t="shared" si="25"/>
        <v>-0.20300000000000029</v>
      </c>
    </row>
    <row r="102" spans="1:29" x14ac:dyDescent="0.2">
      <c r="A102" s="1">
        <v>40329</v>
      </c>
      <c r="B102">
        <v>99.188640973630797</v>
      </c>
      <c r="C102">
        <v>78.567670089999993</v>
      </c>
      <c r="D102">
        <v>61.6</v>
      </c>
      <c r="E102">
        <v>90.5</v>
      </c>
      <c r="F102">
        <v>4241.4224439999998</v>
      </c>
      <c r="G102">
        <v>4811.7562310000003</v>
      </c>
      <c r="H102">
        <v>109717</v>
      </c>
      <c r="I102">
        <v>140244</v>
      </c>
      <c r="J102">
        <v>3272.73</v>
      </c>
      <c r="K102">
        <v>45.597099999999998</v>
      </c>
      <c r="L102">
        <v>27192.469249270001</v>
      </c>
      <c r="M102">
        <v>0.16</v>
      </c>
      <c r="N102">
        <v>3.012</v>
      </c>
      <c r="O102">
        <v>6.1387354205026001E-2</v>
      </c>
      <c r="P102">
        <v>-5.3975623911781696</v>
      </c>
      <c r="Q102">
        <f t="shared" si="23"/>
        <v>6.1368519876299779E-2</v>
      </c>
      <c r="R102">
        <f t="shared" si="13"/>
        <v>-8.3368081476248662E-2</v>
      </c>
      <c r="S102">
        <f t="shared" si="14"/>
        <v>5.5059777183027387</v>
      </c>
      <c r="T102">
        <f t="shared" si="15"/>
        <v>-0.55096558109695848</v>
      </c>
      <c r="U102">
        <f t="shared" si="16"/>
        <v>16.074534332789987</v>
      </c>
      <c r="V102">
        <f t="shared" si="17"/>
        <v>5.1908675084567495</v>
      </c>
      <c r="W102">
        <f t="shared" si="18"/>
        <v>-12.614433138525236</v>
      </c>
      <c r="X102">
        <f t="shared" si="19"/>
        <v>14.043706540211383</v>
      </c>
      <c r="Y102">
        <f t="shared" si="20"/>
        <v>-0.52904210354970538</v>
      </c>
      <c r="Z102">
        <f t="shared" si="21"/>
        <v>2.1514024207981373</v>
      </c>
      <c r="AA102">
        <f t="shared" si="22"/>
        <v>-2.0453143427524902</v>
      </c>
      <c r="AB102">
        <f t="shared" si="24"/>
        <v>0</v>
      </c>
      <c r="AC102">
        <f t="shared" si="25"/>
        <v>6.3000000000000167E-2</v>
      </c>
    </row>
    <row r="103" spans="1:29" x14ac:dyDescent="0.2">
      <c r="A103" s="1">
        <v>40359</v>
      </c>
      <c r="B103">
        <v>100.040567951318</v>
      </c>
      <c r="C103">
        <v>78.764253089999997</v>
      </c>
      <c r="D103">
        <v>61.7</v>
      </c>
      <c r="E103">
        <v>90.3</v>
      </c>
      <c r="F103">
        <v>4556.7293669999999</v>
      </c>
      <c r="G103">
        <v>4224.9488789999996</v>
      </c>
      <c r="H103">
        <v>92095</v>
      </c>
      <c r="I103">
        <v>126717</v>
      </c>
      <c r="J103">
        <v>3372.71</v>
      </c>
      <c r="K103">
        <v>46.302700000000002</v>
      </c>
      <c r="L103">
        <v>26632.92582326</v>
      </c>
      <c r="M103">
        <v>0.18</v>
      </c>
      <c r="N103">
        <v>2.9609999999999999</v>
      </c>
      <c r="O103" s="2">
        <v>0.85889570552149497</v>
      </c>
      <c r="P103">
        <v>-5.7879656160457902</v>
      </c>
      <c r="Q103">
        <f t="shared" si="23"/>
        <v>0.85522818153129754</v>
      </c>
      <c r="R103">
        <f t="shared" si="13"/>
        <v>0.24989601389022245</v>
      </c>
      <c r="S103">
        <f t="shared" si="14"/>
        <v>0.1622060371868051</v>
      </c>
      <c r="T103">
        <f t="shared" si="15"/>
        <v>-0.22123902829407402</v>
      </c>
      <c r="U103">
        <f t="shared" si="16"/>
        <v>7.1706427046944592</v>
      </c>
      <c r="V103">
        <f t="shared" si="17"/>
        <v>-13.005497717635043</v>
      </c>
      <c r="W103">
        <f t="shared" si="18"/>
        <v>-17.508367039860754</v>
      </c>
      <c r="X103">
        <f t="shared" si="19"/>
        <v>-10.142750919556812</v>
      </c>
      <c r="Y103">
        <f t="shared" si="20"/>
        <v>3.0092076517379001</v>
      </c>
      <c r="Z103">
        <f t="shared" si="21"/>
        <v>1.5356156719918963</v>
      </c>
      <c r="AA103">
        <f t="shared" si="22"/>
        <v>-2.0791805898499152</v>
      </c>
      <c r="AB103">
        <f t="shared" si="24"/>
        <v>1.999999999999999E-2</v>
      </c>
      <c r="AC103">
        <f t="shared" si="25"/>
        <v>-5.1000000000000156E-2</v>
      </c>
    </row>
    <row r="104" spans="1:29" x14ac:dyDescent="0.2">
      <c r="A104" s="1">
        <v>40390</v>
      </c>
      <c r="B104">
        <v>99.979716024340703</v>
      </c>
      <c r="C104">
        <v>79.026363750000002</v>
      </c>
      <c r="D104">
        <v>61.9</v>
      </c>
      <c r="E104">
        <v>89.9</v>
      </c>
      <c r="F104">
        <v>4505.1876599999996</v>
      </c>
      <c r="G104">
        <v>4687.7660290000003</v>
      </c>
      <c r="H104">
        <v>102908</v>
      </c>
      <c r="I104">
        <v>135602</v>
      </c>
      <c r="J104">
        <v>3426.95</v>
      </c>
      <c r="K104">
        <v>46.320300000000003</v>
      </c>
      <c r="L104">
        <v>26698.308215509998</v>
      </c>
      <c r="M104">
        <v>0.15</v>
      </c>
      <c r="N104">
        <v>2.9180000000000001</v>
      </c>
      <c r="O104">
        <v>-6.0827250608294803E-2</v>
      </c>
      <c r="P104">
        <v>-5.3571428571428203</v>
      </c>
      <c r="Q104">
        <f t="shared" si="23"/>
        <v>-6.0845757885317327E-2</v>
      </c>
      <c r="R104">
        <f t="shared" si="13"/>
        <v>0.3322262202084339</v>
      </c>
      <c r="S104">
        <f t="shared" si="14"/>
        <v>0.3236248779208325</v>
      </c>
      <c r="T104">
        <f t="shared" si="15"/>
        <v>-0.44395189453650274</v>
      </c>
      <c r="U104">
        <f t="shared" si="16"/>
        <v>-1.1375575974190415</v>
      </c>
      <c r="V104">
        <f t="shared" si="17"/>
        <v>10.394898144851492</v>
      </c>
      <c r="W104">
        <f t="shared" si="18"/>
        <v>11.101473223078974</v>
      </c>
      <c r="X104">
        <f t="shared" si="19"/>
        <v>6.7767871116610587</v>
      </c>
      <c r="Y104">
        <f t="shared" si="20"/>
        <v>1.5954077257505708</v>
      </c>
      <c r="Z104">
        <f t="shared" si="21"/>
        <v>3.8003520101547082E-2</v>
      </c>
      <c r="AA104">
        <f t="shared" si="22"/>
        <v>0.24519374503514757</v>
      </c>
      <c r="AB104">
        <f t="shared" si="24"/>
        <v>-0.03</v>
      </c>
      <c r="AC104">
        <f t="shared" si="25"/>
        <v>-4.2999999999999705E-2</v>
      </c>
    </row>
    <row r="105" spans="1:29" x14ac:dyDescent="0.2">
      <c r="A105" s="1">
        <v>40421</v>
      </c>
      <c r="B105">
        <v>99.188640973630797</v>
      </c>
      <c r="C105">
        <v>79.354002070000007</v>
      </c>
      <c r="D105">
        <v>63.5</v>
      </c>
      <c r="E105">
        <v>90.4</v>
      </c>
      <c r="F105">
        <v>4774.4454459999997</v>
      </c>
      <c r="G105">
        <v>4461.1612690000002</v>
      </c>
      <c r="H105">
        <v>107806</v>
      </c>
      <c r="I105">
        <v>106487</v>
      </c>
      <c r="J105">
        <v>3566.23</v>
      </c>
      <c r="K105">
        <v>45.182499999999997</v>
      </c>
      <c r="L105">
        <v>26956.072786159999</v>
      </c>
      <c r="M105">
        <v>0.14000000000000001</v>
      </c>
      <c r="N105">
        <v>2.9660000000000002</v>
      </c>
      <c r="O105">
        <v>-0.79123554473524105</v>
      </c>
      <c r="P105">
        <v>-7.2810011376564496</v>
      </c>
      <c r="Q105">
        <f t="shared" si="23"/>
        <v>-0.79438242364597933</v>
      </c>
      <c r="R105">
        <f t="shared" si="13"/>
        <v>0.4137366215491875</v>
      </c>
      <c r="S105">
        <f t="shared" si="14"/>
        <v>2.5519726208095674</v>
      </c>
      <c r="T105">
        <f t="shared" si="15"/>
        <v>0.55463259205561355</v>
      </c>
      <c r="U105">
        <f t="shared" si="16"/>
        <v>5.8048284094359985</v>
      </c>
      <c r="V105">
        <f t="shared" si="17"/>
        <v>-4.9547036183744071</v>
      </c>
      <c r="W105">
        <f t="shared" si="18"/>
        <v>4.6497930351244134</v>
      </c>
      <c r="X105">
        <f t="shared" si="19"/>
        <v>-24.170121268890977</v>
      </c>
      <c r="Y105">
        <f t="shared" si="20"/>
        <v>3.9838362632445752</v>
      </c>
      <c r="Z105">
        <f t="shared" si="21"/>
        <v>-2.4870466200047536</v>
      </c>
      <c r="AA105">
        <f t="shared" si="22"/>
        <v>0.96084065806077357</v>
      </c>
      <c r="AB105">
        <f t="shared" si="24"/>
        <v>-9.9999999999999811E-3</v>
      </c>
      <c r="AC105">
        <f t="shared" si="25"/>
        <v>4.8000000000000043E-2</v>
      </c>
    </row>
    <row r="106" spans="1:29" x14ac:dyDescent="0.2">
      <c r="A106" s="1">
        <v>40451</v>
      </c>
      <c r="B106">
        <v>98.640973630831596</v>
      </c>
      <c r="C106">
        <v>79.354002070000007</v>
      </c>
      <c r="D106">
        <v>62.8</v>
      </c>
      <c r="E106">
        <v>90.2</v>
      </c>
      <c r="F106">
        <v>5340.8469219999997</v>
      </c>
      <c r="G106">
        <v>4597.2175420000003</v>
      </c>
      <c r="H106">
        <v>91898</v>
      </c>
      <c r="I106">
        <v>123582</v>
      </c>
      <c r="J106">
        <v>4100.07</v>
      </c>
      <c r="K106">
        <v>44.313699999999997</v>
      </c>
      <c r="L106">
        <v>27770.47998919</v>
      </c>
      <c r="M106">
        <v>0.16</v>
      </c>
      <c r="N106">
        <v>3.3279999999999998</v>
      </c>
      <c r="O106">
        <v>-0.55214723926380405</v>
      </c>
      <c r="P106">
        <v>-6.89259046524987</v>
      </c>
      <c r="Q106">
        <f t="shared" si="23"/>
        <v>-0.55367720651319952</v>
      </c>
      <c r="R106">
        <f t="shared" si="13"/>
        <v>0</v>
      </c>
      <c r="S106">
        <f t="shared" si="14"/>
        <v>-1.1084832424493041</v>
      </c>
      <c r="T106">
        <f t="shared" si="15"/>
        <v>-0.22148403295528984</v>
      </c>
      <c r="U106">
        <f t="shared" si="16"/>
        <v>11.210640979705728</v>
      </c>
      <c r="V106">
        <f t="shared" si="17"/>
        <v>3.0042131950372442</v>
      </c>
      <c r="W106">
        <f t="shared" si="18"/>
        <v>-15.96540492139081</v>
      </c>
      <c r="X106">
        <f t="shared" si="19"/>
        <v>14.888199137924255</v>
      </c>
      <c r="Y106">
        <f t="shared" si="20"/>
        <v>13.94950313371929</v>
      </c>
      <c r="Z106">
        <f t="shared" si="21"/>
        <v>-1.9415959407055194</v>
      </c>
      <c r="AA106">
        <f t="shared" si="22"/>
        <v>2.9764978355491234</v>
      </c>
      <c r="AB106">
        <f t="shared" si="24"/>
        <v>1.999999999999999E-2</v>
      </c>
      <c r="AC106">
        <f t="shared" si="25"/>
        <v>0.36199999999999966</v>
      </c>
    </row>
    <row r="107" spans="1:29" x14ac:dyDescent="0.2">
      <c r="A107" s="1">
        <v>40482</v>
      </c>
      <c r="B107">
        <v>98.3367139959432</v>
      </c>
      <c r="C107">
        <v>79.288474399999998</v>
      </c>
      <c r="D107">
        <v>66.900000000000006</v>
      </c>
      <c r="E107">
        <v>91.1</v>
      </c>
      <c r="F107">
        <v>4788.4523589999999</v>
      </c>
      <c r="G107">
        <v>4904.460728</v>
      </c>
      <c r="H107">
        <v>98503</v>
      </c>
      <c r="I107">
        <v>109017</v>
      </c>
      <c r="J107">
        <v>4268.74</v>
      </c>
      <c r="K107">
        <v>43.444899999999997</v>
      </c>
      <c r="L107">
        <v>28561.390700280001</v>
      </c>
      <c r="M107">
        <v>0.12</v>
      </c>
      <c r="N107">
        <v>3.05</v>
      </c>
      <c r="O107">
        <v>-0.30845157310301402</v>
      </c>
      <c r="P107">
        <v>-6.21009866511897</v>
      </c>
      <c r="Q107">
        <f t="shared" si="23"/>
        <v>-0.30892826546350421</v>
      </c>
      <c r="R107">
        <f t="shared" si="13"/>
        <v>-8.2610502791802029E-2</v>
      </c>
      <c r="S107">
        <f t="shared" si="14"/>
        <v>6.3243893660029817</v>
      </c>
      <c r="T107">
        <f t="shared" si="15"/>
        <v>0.99283771973344725</v>
      </c>
      <c r="U107">
        <f t="shared" si="16"/>
        <v>-10.917697913652177</v>
      </c>
      <c r="V107">
        <f t="shared" si="17"/>
        <v>6.469390534386779</v>
      </c>
      <c r="W107">
        <f t="shared" si="18"/>
        <v>6.9407738227842559</v>
      </c>
      <c r="X107">
        <f t="shared" si="19"/>
        <v>-12.540106997951112</v>
      </c>
      <c r="Y107">
        <f t="shared" si="20"/>
        <v>4.0314654992821009</v>
      </c>
      <c r="Z107">
        <f t="shared" si="21"/>
        <v>-1.9800415792928172</v>
      </c>
      <c r="AA107">
        <f t="shared" si="22"/>
        <v>2.8082244653445017</v>
      </c>
      <c r="AB107">
        <f t="shared" si="24"/>
        <v>-4.0000000000000008E-2</v>
      </c>
      <c r="AC107">
        <f t="shared" si="25"/>
        <v>-0.27800000000000002</v>
      </c>
    </row>
    <row r="108" spans="1:29" x14ac:dyDescent="0.2">
      <c r="A108" s="1">
        <v>40512</v>
      </c>
      <c r="B108">
        <v>98.032454361054704</v>
      </c>
      <c r="C108">
        <v>80.009278719999998</v>
      </c>
      <c r="D108">
        <v>67.7</v>
      </c>
      <c r="E108">
        <v>93</v>
      </c>
      <c r="F108">
        <v>4146.0736379999998</v>
      </c>
      <c r="G108">
        <v>4955.7782459999999</v>
      </c>
      <c r="H108">
        <v>111535</v>
      </c>
      <c r="I108">
        <v>111053</v>
      </c>
      <c r="J108">
        <v>3953.7</v>
      </c>
      <c r="K108">
        <v>43.491799999999998</v>
      </c>
      <c r="L108">
        <v>28592.294076490001</v>
      </c>
      <c r="M108">
        <v>0.17</v>
      </c>
      <c r="N108">
        <v>3.0680000000000001</v>
      </c>
      <c r="O108">
        <v>-0.30940594059406101</v>
      </c>
      <c r="P108">
        <v>-7.0934256055363498</v>
      </c>
      <c r="Q108">
        <f t="shared" si="23"/>
        <v>-0.3098855904066925</v>
      </c>
      <c r="R108">
        <f t="shared" si="13"/>
        <v>0.90498356108163547</v>
      </c>
      <c r="S108">
        <f t="shared" si="14"/>
        <v>1.1887212784046504</v>
      </c>
      <c r="T108">
        <f t="shared" si="15"/>
        <v>2.0641688887343284</v>
      </c>
      <c r="U108">
        <f t="shared" si="16"/>
        <v>-14.404548581397004</v>
      </c>
      <c r="V108">
        <f t="shared" si="17"/>
        <v>1.0409074563793901</v>
      </c>
      <c r="W108">
        <f t="shared" si="18"/>
        <v>12.425143842171076</v>
      </c>
      <c r="X108">
        <f t="shared" si="19"/>
        <v>1.8503731462829192</v>
      </c>
      <c r="Y108">
        <f t="shared" si="20"/>
        <v>-7.6666852392253668</v>
      </c>
      <c r="Z108">
        <f t="shared" si="21"/>
        <v>0.10789460503972206</v>
      </c>
      <c r="AA108">
        <f t="shared" si="22"/>
        <v>0.1081413362668756</v>
      </c>
      <c r="AB108">
        <f t="shared" si="24"/>
        <v>5.0000000000000017E-2</v>
      </c>
      <c r="AC108">
        <f t="shared" si="25"/>
        <v>1.8000000000000238E-2</v>
      </c>
    </row>
    <row r="109" spans="1:29" x14ac:dyDescent="0.2">
      <c r="A109" s="1">
        <v>40543</v>
      </c>
      <c r="B109">
        <v>99.249492900608502</v>
      </c>
      <c r="C109">
        <v>80.271389380000002</v>
      </c>
      <c r="D109">
        <v>69.400000000000006</v>
      </c>
      <c r="E109">
        <v>94.3</v>
      </c>
      <c r="F109">
        <v>4201.2754910000003</v>
      </c>
      <c r="G109">
        <v>4949.1417629999996</v>
      </c>
      <c r="H109">
        <v>103172</v>
      </c>
      <c r="I109">
        <v>147810</v>
      </c>
      <c r="J109">
        <v>4201.1400000000003</v>
      </c>
      <c r="K109">
        <v>43.954799999999999</v>
      </c>
      <c r="L109">
        <v>30727.905222009998</v>
      </c>
      <c r="M109">
        <v>0.12</v>
      </c>
      <c r="N109">
        <v>2.9940000000000002</v>
      </c>
      <c r="O109" s="2">
        <v>1.24146492861576</v>
      </c>
      <c r="P109">
        <v>-5.8314087759815303</v>
      </c>
      <c r="Q109">
        <f t="shared" si="23"/>
        <v>1.2338219444039917</v>
      </c>
      <c r="R109">
        <f t="shared" si="13"/>
        <v>0.32706488781214821</v>
      </c>
      <c r="S109">
        <f t="shared" si="14"/>
        <v>2.4800687594529491</v>
      </c>
      <c r="T109">
        <f t="shared" si="15"/>
        <v>1.3881696486155817</v>
      </c>
      <c r="U109">
        <f t="shared" si="16"/>
        <v>1.3226392447199324</v>
      </c>
      <c r="V109">
        <f t="shared" si="17"/>
        <v>-0.13400378775528318</v>
      </c>
      <c r="W109">
        <f t="shared" si="18"/>
        <v>-7.7940944584081375</v>
      </c>
      <c r="X109">
        <f t="shared" si="19"/>
        <v>28.592010039026771</v>
      </c>
      <c r="Y109">
        <f t="shared" si="20"/>
        <v>6.070406769486473</v>
      </c>
      <c r="Z109">
        <f t="shared" si="21"/>
        <v>1.0589418606654701</v>
      </c>
      <c r="AA109">
        <f t="shared" si="22"/>
        <v>7.2033962985118407</v>
      </c>
      <c r="AB109">
        <f t="shared" si="24"/>
        <v>-5.0000000000000017E-2</v>
      </c>
      <c r="AC109">
        <f t="shared" si="25"/>
        <v>-7.3999999999999844E-2</v>
      </c>
    </row>
    <row r="110" spans="1:29" x14ac:dyDescent="0.2">
      <c r="A110" s="1">
        <v>40574</v>
      </c>
      <c r="B110">
        <v>101.74442190669301</v>
      </c>
      <c r="C110">
        <v>80.730083030000003</v>
      </c>
      <c r="D110">
        <v>59</v>
      </c>
      <c r="E110">
        <v>96.4</v>
      </c>
      <c r="F110">
        <v>4001.9336560000002</v>
      </c>
      <c r="G110">
        <v>5302.4390960000001</v>
      </c>
      <c r="H110">
        <v>135911</v>
      </c>
      <c r="I110">
        <v>122487</v>
      </c>
      <c r="J110">
        <v>3881.47</v>
      </c>
      <c r="K110">
        <v>44.172199999999997</v>
      </c>
      <c r="L110">
        <v>30063.824686</v>
      </c>
      <c r="M110">
        <v>0.15</v>
      </c>
      <c r="N110">
        <v>2.556</v>
      </c>
      <c r="O110" s="2">
        <v>2.5137952176578402</v>
      </c>
      <c r="P110">
        <v>-2.4504084014002498</v>
      </c>
      <c r="Q110">
        <f t="shared" si="23"/>
        <v>2.4827191023626223</v>
      </c>
      <c r="R110">
        <f t="shared" si="13"/>
        <v>0.56980210700447098</v>
      </c>
      <c r="S110">
        <f t="shared" si="14"/>
        <v>-16.234942360703947</v>
      </c>
      <c r="T110">
        <f t="shared" si="15"/>
        <v>2.2025011977088242</v>
      </c>
      <c r="U110">
        <f t="shared" si="16"/>
        <v>-4.8610509205702588</v>
      </c>
      <c r="V110">
        <f t="shared" si="17"/>
        <v>6.8952741151643178</v>
      </c>
      <c r="W110">
        <f t="shared" si="18"/>
        <v>27.560276134583916</v>
      </c>
      <c r="X110">
        <f t="shared" si="19"/>
        <v>-18.792276331956487</v>
      </c>
      <c r="Y110">
        <f t="shared" si="20"/>
        <v>-7.9141969167710391</v>
      </c>
      <c r="Z110">
        <f t="shared" si="21"/>
        <v>0.4933798745047942</v>
      </c>
      <c r="AA110">
        <f t="shared" si="22"/>
        <v>-2.1848595326710734</v>
      </c>
      <c r="AB110">
        <f t="shared" si="24"/>
        <v>0.03</v>
      </c>
      <c r="AC110">
        <f t="shared" si="25"/>
        <v>-0.43800000000000017</v>
      </c>
    </row>
    <row r="111" spans="1:29" x14ac:dyDescent="0.2">
      <c r="A111" s="1">
        <v>40602</v>
      </c>
      <c r="B111">
        <v>101.683569979716</v>
      </c>
      <c r="C111">
        <v>81.712997999999999</v>
      </c>
      <c r="D111">
        <v>59.1</v>
      </c>
      <c r="E111">
        <v>98.2</v>
      </c>
      <c r="F111">
        <v>3927.751788</v>
      </c>
      <c r="G111">
        <v>4876.57996</v>
      </c>
      <c r="H111">
        <v>80015</v>
      </c>
      <c r="I111">
        <v>101505</v>
      </c>
      <c r="J111">
        <v>3766.73</v>
      </c>
      <c r="K111">
        <v>43.703099999999999</v>
      </c>
      <c r="L111">
        <v>30588.386062910002</v>
      </c>
      <c r="M111">
        <v>0.13</v>
      </c>
      <c r="N111">
        <v>2.528</v>
      </c>
      <c r="O111">
        <v>-5.9808612440203503E-2</v>
      </c>
      <c r="P111">
        <v>-0.17921146953408601</v>
      </c>
      <c r="Q111">
        <f t="shared" si="23"/>
        <v>-5.9826504924657076E-2</v>
      </c>
      <c r="R111">
        <f t="shared" si="13"/>
        <v>1.2101801562631771</v>
      </c>
      <c r="S111">
        <f t="shared" si="14"/>
        <v>0.16934805063331476</v>
      </c>
      <c r="T111">
        <f t="shared" si="15"/>
        <v>1.8500013743920209</v>
      </c>
      <c r="U111">
        <f t="shared" si="16"/>
        <v>-1.8710460245063836</v>
      </c>
      <c r="V111">
        <f t="shared" si="17"/>
        <v>-8.3722775186308347</v>
      </c>
      <c r="W111">
        <f t="shared" si="18"/>
        <v>-52.978614265254954</v>
      </c>
      <c r="X111">
        <f t="shared" si="19"/>
        <v>-18.789684355211808</v>
      </c>
      <c r="Y111">
        <f t="shared" si="20"/>
        <v>-3.0006696794849677</v>
      </c>
      <c r="Z111">
        <f t="shared" si="21"/>
        <v>-1.0676594129121884</v>
      </c>
      <c r="AA111">
        <f t="shared" si="22"/>
        <v>1.7297785192518405</v>
      </c>
      <c r="AB111">
        <f t="shared" si="24"/>
        <v>-1.999999999999999E-2</v>
      </c>
      <c r="AC111">
        <f t="shared" si="25"/>
        <v>-2.8000000000000025E-2</v>
      </c>
    </row>
    <row r="112" spans="1:29" x14ac:dyDescent="0.2">
      <c r="A112" s="1">
        <v>40633</v>
      </c>
      <c r="B112">
        <v>101.44016227180499</v>
      </c>
      <c r="C112">
        <v>81.975108660000004</v>
      </c>
      <c r="D112">
        <v>62.8</v>
      </c>
      <c r="E112">
        <v>99.3</v>
      </c>
      <c r="F112">
        <v>4356.3505299999997</v>
      </c>
      <c r="G112">
        <v>5552.5076509999999</v>
      </c>
      <c r="H112">
        <v>107152</v>
      </c>
      <c r="I112">
        <v>125283</v>
      </c>
      <c r="J112">
        <v>4055.14</v>
      </c>
      <c r="K112">
        <v>43.515999999999998</v>
      </c>
      <c r="L112">
        <v>30408.44441797</v>
      </c>
      <c r="M112">
        <v>0.09</v>
      </c>
      <c r="N112">
        <v>2.907</v>
      </c>
      <c r="O112">
        <v>-0.23937761819264899</v>
      </c>
      <c r="P112">
        <v>-0.59630292188433998</v>
      </c>
      <c r="Q112">
        <f t="shared" si="23"/>
        <v>-0.23966458446022129</v>
      </c>
      <c r="R112">
        <f t="shared" si="13"/>
        <v>0.32025647968528415</v>
      </c>
      <c r="S112">
        <f t="shared" si="14"/>
        <v>6.0724149062100414</v>
      </c>
      <c r="T112">
        <f t="shared" si="15"/>
        <v>1.1139355690706716</v>
      </c>
      <c r="U112">
        <f t="shared" si="16"/>
        <v>10.356747438044925</v>
      </c>
      <c r="V112">
        <f t="shared" si="17"/>
        <v>12.98055084218093</v>
      </c>
      <c r="W112">
        <f t="shared" si="18"/>
        <v>29.203427006974074</v>
      </c>
      <c r="X112">
        <f t="shared" si="19"/>
        <v>21.046711996363822</v>
      </c>
      <c r="Y112">
        <f t="shared" si="20"/>
        <v>7.3777961180707008</v>
      </c>
      <c r="Z112">
        <f t="shared" si="21"/>
        <v>-0.42903512418149875</v>
      </c>
      <c r="AA112">
        <f t="shared" si="22"/>
        <v>-0.59000497406377428</v>
      </c>
      <c r="AB112">
        <f t="shared" si="24"/>
        <v>-4.0000000000000008E-2</v>
      </c>
      <c r="AC112">
        <f t="shared" si="25"/>
        <v>0.379</v>
      </c>
    </row>
    <row r="113" spans="1:29" x14ac:dyDescent="0.2">
      <c r="A113" s="1">
        <v>40663</v>
      </c>
      <c r="B113">
        <v>101.135902636916</v>
      </c>
      <c r="C113">
        <v>82.302746990000003</v>
      </c>
      <c r="D113">
        <v>60.2</v>
      </c>
      <c r="E113">
        <v>100.7</v>
      </c>
      <c r="F113">
        <v>4306.4442090000002</v>
      </c>
      <c r="G113">
        <v>5525.4350590000004</v>
      </c>
      <c r="H113">
        <v>138335</v>
      </c>
      <c r="I113">
        <v>112077</v>
      </c>
      <c r="J113">
        <v>4319.51</v>
      </c>
      <c r="K113">
        <v>43.240200000000002</v>
      </c>
      <c r="L113">
        <v>31153.56390583</v>
      </c>
      <c r="M113">
        <v>0.04</v>
      </c>
      <c r="N113">
        <v>2.6890000000000001</v>
      </c>
      <c r="O113">
        <v>-0.29994001199756198</v>
      </c>
      <c r="P113">
        <v>2.0257826887661499</v>
      </c>
      <c r="Q113">
        <f t="shared" si="23"/>
        <v>-0.30039073354059675</v>
      </c>
      <c r="R113">
        <f t="shared" si="13"/>
        <v>0.39888366343674847</v>
      </c>
      <c r="S113">
        <f t="shared" si="14"/>
        <v>-4.2282721159377514</v>
      </c>
      <c r="T113">
        <f t="shared" si="15"/>
        <v>1.4000228673389661</v>
      </c>
      <c r="U113">
        <f t="shared" si="16"/>
        <v>-1.1522118353117961</v>
      </c>
      <c r="V113">
        <f t="shared" si="17"/>
        <v>-0.48876667092613202</v>
      </c>
      <c r="W113">
        <f t="shared" si="18"/>
        <v>25.542989251508647</v>
      </c>
      <c r="X113">
        <f t="shared" si="19"/>
        <v>-11.1389043240706</v>
      </c>
      <c r="Y113">
        <f t="shared" si="20"/>
        <v>6.3156757648058477</v>
      </c>
      <c r="Z113">
        <f t="shared" si="21"/>
        <v>-0.63580684516244412</v>
      </c>
      <c r="AA113">
        <f t="shared" si="22"/>
        <v>2.4208303044875956</v>
      </c>
      <c r="AB113">
        <f t="shared" si="24"/>
        <v>-4.9999999999999996E-2</v>
      </c>
      <c r="AC113">
        <f t="shared" si="25"/>
        <v>-0.21799999999999997</v>
      </c>
    </row>
    <row r="114" spans="1:29" x14ac:dyDescent="0.2">
      <c r="A114" s="1">
        <v>40694</v>
      </c>
      <c r="B114">
        <v>100.953346855983</v>
      </c>
      <c r="C114">
        <v>82.433802310000004</v>
      </c>
      <c r="D114">
        <v>63.2</v>
      </c>
      <c r="E114">
        <v>99.6</v>
      </c>
      <c r="F114">
        <v>4118.6914120000001</v>
      </c>
      <c r="G114">
        <v>4892.5712819999999</v>
      </c>
      <c r="H114">
        <v>120088</v>
      </c>
      <c r="I114">
        <v>129689</v>
      </c>
      <c r="J114">
        <v>4244.6400000000003</v>
      </c>
      <c r="K114">
        <v>43.130699999999997</v>
      </c>
      <c r="L114">
        <v>30903.331117540001</v>
      </c>
      <c r="M114">
        <v>0.06</v>
      </c>
      <c r="N114">
        <v>2.9289999999999998</v>
      </c>
      <c r="O114">
        <v>-0.180505415162491</v>
      </c>
      <c r="P114">
        <v>1.77914110429448</v>
      </c>
      <c r="Q114">
        <f t="shared" si="23"/>
        <v>-0.18066852249483684</v>
      </c>
      <c r="R114">
        <f t="shared" si="13"/>
        <v>0.15910901157615936</v>
      </c>
      <c r="S114">
        <f t="shared" si="14"/>
        <v>4.8631948838036374</v>
      </c>
      <c r="T114">
        <f t="shared" si="15"/>
        <v>-1.0983635133964187</v>
      </c>
      <c r="U114">
        <f t="shared" si="16"/>
        <v>-4.4577059631842042</v>
      </c>
      <c r="V114">
        <f t="shared" si="17"/>
        <v>-12.164399818472317</v>
      </c>
      <c r="W114">
        <f t="shared" si="18"/>
        <v>-14.145347232490579</v>
      </c>
      <c r="X114">
        <f t="shared" si="19"/>
        <v>14.595314154795821</v>
      </c>
      <c r="Y114">
        <f t="shared" si="20"/>
        <v>-1.7484959383488536</v>
      </c>
      <c r="Z114">
        <f t="shared" si="21"/>
        <v>-0.25355775768464711</v>
      </c>
      <c r="AA114">
        <f t="shared" si="22"/>
        <v>-0.80646685411065</v>
      </c>
      <c r="AB114">
        <f t="shared" si="24"/>
        <v>1.9999999999999997E-2</v>
      </c>
      <c r="AC114">
        <f t="shared" si="25"/>
        <v>0.23999999999999977</v>
      </c>
    </row>
    <row r="115" spans="1:29" x14ac:dyDescent="0.2">
      <c r="A115" s="1">
        <v>40724</v>
      </c>
      <c r="B115">
        <v>102.474645030426</v>
      </c>
      <c r="C115">
        <v>82.892495969999999</v>
      </c>
      <c r="D115">
        <v>61.6</v>
      </c>
      <c r="E115">
        <v>99.2</v>
      </c>
      <c r="F115">
        <v>4134.7816979999998</v>
      </c>
      <c r="G115">
        <v>4503.8993010000004</v>
      </c>
      <c r="H115">
        <v>100139</v>
      </c>
      <c r="I115">
        <v>107830</v>
      </c>
      <c r="J115">
        <v>4291.21</v>
      </c>
      <c r="K115">
        <v>43.365699999999997</v>
      </c>
      <c r="L115">
        <v>30469.572267750002</v>
      </c>
      <c r="M115">
        <v>0.03</v>
      </c>
      <c r="N115">
        <v>3.1440000000000001</v>
      </c>
      <c r="O115" s="2">
        <v>1.50693188667873</v>
      </c>
      <c r="P115">
        <v>2.4330900243308902</v>
      </c>
      <c r="Q115">
        <f t="shared" si="23"/>
        <v>1.4956904611835615</v>
      </c>
      <c r="R115">
        <f t="shared" si="13"/>
        <v>0.55489639790069745</v>
      </c>
      <c r="S115">
        <f t="shared" si="14"/>
        <v>-2.5642430613337668</v>
      </c>
      <c r="T115">
        <f t="shared" si="15"/>
        <v>-0.40241502997253797</v>
      </c>
      <c r="U115">
        <f t="shared" si="16"/>
        <v>0.38990389063934788</v>
      </c>
      <c r="V115">
        <f t="shared" si="17"/>
        <v>-8.2774456923985227</v>
      </c>
      <c r="W115">
        <f t="shared" si="18"/>
        <v>-18.16655865255095</v>
      </c>
      <c r="X115">
        <f t="shared" si="19"/>
        <v>-18.458336372920794</v>
      </c>
      <c r="Y115">
        <f t="shared" si="20"/>
        <v>1.0911733939594093</v>
      </c>
      <c r="Z115">
        <f t="shared" si="21"/>
        <v>0.5433765525812605</v>
      </c>
      <c r="AA115">
        <f t="shared" si="22"/>
        <v>-1.4135426166789256</v>
      </c>
      <c r="AB115">
        <f t="shared" si="24"/>
        <v>-0.03</v>
      </c>
      <c r="AC115">
        <f t="shared" si="25"/>
        <v>0.2150000000000003</v>
      </c>
    </row>
    <row r="116" spans="1:29" x14ac:dyDescent="0.2">
      <c r="A116" s="1">
        <v>40755</v>
      </c>
      <c r="B116">
        <v>99.736308316429998</v>
      </c>
      <c r="C116">
        <v>82.892495969999999</v>
      </c>
      <c r="D116">
        <v>64.8</v>
      </c>
      <c r="E116">
        <v>98.7</v>
      </c>
      <c r="F116">
        <v>4460.2698700000001</v>
      </c>
      <c r="G116">
        <v>5001.3248309999999</v>
      </c>
      <c r="H116">
        <v>106963</v>
      </c>
      <c r="I116">
        <v>133445</v>
      </c>
      <c r="J116">
        <v>4503.63</v>
      </c>
      <c r="K116">
        <v>42.808799999999998</v>
      </c>
      <c r="L116">
        <v>31208.16191811</v>
      </c>
      <c r="M116">
        <v>0.1</v>
      </c>
      <c r="N116">
        <v>2.778</v>
      </c>
      <c r="O116">
        <v>-2.67220902612828</v>
      </c>
      <c r="P116">
        <v>-0.243457090687765</v>
      </c>
      <c r="Q116">
        <f t="shared" si="23"/>
        <v>-2.7085616058442956</v>
      </c>
      <c r="R116">
        <f t="shared" si="13"/>
        <v>0</v>
      </c>
      <c r="S116">
        <f t="shared" si="14"/>
        <v>5.0643732818754934</v>
      </c>
      <c r="T116">
        <f t="shared" si="15"/>
        <v>-0.50530678513911775</v>
      </c>
      <c r="U116">
        <f t="shared" si="16"/>
        <v>7.577473980018401</v>
      </c>
      <c r="V116">
        <f t="shared" si="17"/>
        <v>10.475931063136411</v>
      </c>
      <c r="W116">
        <f t="shared" si="18"/>
        <v>6.5923759436350089</v>
      </c>
      <c r="X116">
        <f t="shared" si="19"/>
        <v>21.313349503845259</v>
      </c>
      <c r="Y116">
        <f t="shared" si="20"/>
        <v>4.8314993809256572</v>
      </c>
      <c r="Z116">
        <f t="shared" si="21"/>
        <v>-1.2925117126111676</v>
      </c>
      <c r="AA116">
        <f t="shared" si="22"/>
        <v>2.3951105460359665</v>
      </c>
      <c r="AB116">
        <f t="shared" si="24"/>
        <v>7.0000000000000007E-2</v>
      </c>
      <c r="AC116">
        <f t="shared" si="25"/>
        <v>-0.3660000000000001</v>
      </c>
    </row>
    <row r="117" spans="1:29" x14ac:dyDescent="0.2">
      <c r="A117" s="1">
        <v>40786</v>
      </c>
      <c r="B117">
        <v>99.553752535496898</v>
      </c>
      <c r="C117">
        <v>83.023551299999994</v>
      </c>
      <c r="D117">
        <v>64.2</v>
      </c>
      <c r="E117">
        <v>97.8</v>
      </c>
      <c r="F117">
        <v>4172.9032020000004</v>
      </c>
      <c r="G117">
        <v>5076.3814789999997</v>
      </c>
      <c r="H117">
        <v>124148</v>
      </c>
      <c r="I117">
        <v>114928</v>
      </c>
      <c r="J117">
        <v>4348.5</v>
      </c>
      <c r="K117">
        <v>42.420900000000003</v>
      </c>
      <c r="L117">
        <v>31587.436917399998</v>
      </c>
      <c r="M117">
        <v>0.02</v>
      </c>
      <c r="N117">
        <v>3.121</v>
      </c>
      <c r="O117">
        <v>-0.18303843807199199</v>
      </c>
      <c r="P117">
        <v>0.36809815950920599</v>
      </c>
      <c r="Q117">
        <f t="shared" si="23"/>
        <v>-0.18320615811377325</v>
      </c>
      <c r="R117">
        <f t="shared" si="13"/>
        <v>0.15797791643744208</v>
      </c>
      <c r="S117">
        <f t="shared" si="14"/>
        <v>-0.9302392662313449</v>
      </c>
      <c r="T117">
        <f t="shared" si="15"/>
        <v>-0.91603693986642787</v>
      </c>
      <c r="U117">
        <f t="shared" si="16"/>
        <v>-6.6597268091292854</v>
      </c>
      <c r="V117">
        <f t="shared" si="17"/>
        <v>1.4895856958801492</v>
      </c>
      <c r="W117">
        <f t="shared" si="18"/>
        <v>14.899142201079451</v>
      </c>
      <c r="X117">
        <f t="shared" si="19"/>
        <v>-14.938356259998786</v>
      </c>
      <c r="Y117">
        <f t="shared" si="20"/>
        <v>-3.5052780214565544</v>
      </c>
      <c r="Z117">
        <f t="shared" si="21"/>
        <v>-0.9102523611239467</v>
      </c>
      <c r="AA117">
        <f t="shared" si="22"/>
        <v>1.2079815093964235</v>
      </c>
      <c r="AB117">
        <f t="shared" si="24"/>
        <v>-0.08</v>
      </c>
      <c r="AC117">
        <f t="shared" si="25"/>
        <v>0.34299999999999997</v>
      </c>
    </row>
    <row r="118" spans="1:29" x14ac:dyDescent="0.2">
      <c r="A118" s="1">
        <v>40816</v>
      </c>
      <c r="B118">
        <v>100.223123732251</v>
      </c>
      <c r="C118">
        <v>83.089078959999995</v>
      </c>
      <c r="D118">
        <v>63</v>
      </c>
      <c r="E118">
        <v>98.4</v>
      </c>
      <c r="F118">
        <v>3896.9520889999999</v>
      </c>
      <c r="G118">
        <v>5082.8908149999997</v>
      </c>
      <c r="H118">
        <v>104337</v>
      </c>
      <c r="I118">
        <v>122838</v>
      </c>
      <c r="J118">
        <v>3999.65</v>
      </c>
      <c r="K118">
        <v>43.025599999999997</v>
      </c>
      <c r="L118">
        <v>30898.19372589</v>
      </c>
      <c r="M118">
        <v>0.02</v>
      </c>
      <c r="N118">
        <v>2.9380000000000002</v>
      </c>
      <c r="O118">
        <v>0.67237163814176504</v>
      </c>
      <c r="P118">
        <v>1.6039481801356801</v>
      </c>
      <c r="Q118">
        <f t="shared" si="23"/>
        <v>0.67012130149432336</v>
      </c>
      <c r="R118">
        <f t="shared" si="13"/>
        <v>7.8895461827814012E-2</v>
      </c>
      <c r="S118">
        <f t="shared" si="14"/>
        <v>-1.8868484304382804</v>
      </c>
      <c r="T118">
        <f t="shared" si="15"/>
        <v>0.61162270174362743</v>
      </c>
      <c r="U118">
        <f t="shared" si="16"/>
        <v>-6.8417273126670732</v>
      </c>
      <c r="V118">
        <f t="shared" si="17"/>
        <v>0.12814573135540738</v>
      </c>
      <c r="W118">
        <f t="shared" si="18"/>
        <v>-17.384835725502644</v>
      </c>
      <c r="X118">
        <f t="shared" si="19"/>
        <v>6.6560568766050894</v>
      </c>
      <c r="Y118">
        <f t="shared" si="20"/>
        <v>-8.3624100756140507</v>
      </c>
      <c r="Z118">
        <f t="shared" si="21"/>
        <v>1.4154122062133092</v>
      </c>
      <c r="AA118">
        <f t="shared" si="22"/>
        <v>-2.2061748915229642</v>
      </c>
      <c r="AB118">
        <f t="shared" si="24"/>
        <v>0</v>
      </c>
      <c r="AC118">
        <f t="shared" si="25"/>
        <v>-0.18299999999999983</v>
      </c>
    </row>
    <row r="119" spans="1:29" x14ac:dyDescent="0.2">
      <c r="A119" s="1">
        <v>40847</v>
      </c>
      <c r="B119">
        <v>100.89249492900601</v>
      </c>
      <c r="C119">
        <v>83.416717289999994</v>
      </c>
      <c r="D119">
        <v>58.5</v>
      </c>
      <c r="E119">
        <v>98.6</v>
      </c>
      <c r="F119">
        <v>4155.6627840000001</v>
      </c>
      <c r="G119">
        <v>5024.4851339999996</v>
      </c>
      <c r="H119">
        <v>103939</v>
      </c>
      <c r="I119">
        <v>125196</v>
      </c>
      <c r="J119">
        <v>4333.72</v>
      </c>
      <c r="K119">
        <v>43.4514</v>
      </c>
      <c r="L119">
        <v>31769.392964480001</v>
      </c>
      <c r="M119">
        <v>0.01</v>
      </c>
      <c r="N119">
        <v>2.8180000000000001</v>
      </c>
      <c r="O119" s="2">
        <v>0.66788099574988402</v>
      </c>
      <c r="P119">
        <v>2.59900990099008</v>
      </c>
      <c r="Q119">
        <f t="shared" si="23"/>
        <v>0.66566055176044781</v>
      </c>
      <c r="R119">
        <f t="shared" si="13"/>
        <v>0.39354636324657682</v>
      </c>
      <c r="S119">
        <f t="shared" si="14"/>
        <v>-7.4107972153721846</v>
      </c>
      <c r="T119">
        <f t="shared" si="15"/>
        <v>0.20304575503819214</v>
      </c>
      <c r="U119">
        <f t="shared" si="16"/>
        <v>6.4277198435697125</v>
      </c>
      <c r="V119">
        <f t="shared" si="17"/>
        <v>-1.1557170008971072</v>
      </c>
      <c r="W119">
        <f t="shared" si="18"/>
        <v>-0.38218564256243737</v>
      </c>
      <c r="X119">
        <f t="shared" si="19"/>
        <v>1.9014095175336052</v>
      </c>
      <c r="Y119">
        <f t="shared" si="20"/>
        <v>8.0219438290287375</v>
      </c>
      <c r="Z119">
        <f t="shared" si="21"/>
        <v>0.98477847549711184</v>
      </c>
      <c r="AA119">
        <f t="shared" si="22"/>
        <v>2.7805614183634337</v>
      </c>
      <c r="AB119">
        <f t="shared" si="24"/>
        <v>-0.01</v>
      </c>
      <c r="AC119">
        <f t="shared" si="25"/>
        <v>-0.12000000000000011</v>
      </c>
    </row>
    <row r="120" spans="1:29" x14ac:dyDescent="0.2">
      <c r="A120" s="1">
        <v>40877</v>
      </c>
      <c r="B120">
        <v>100.466531440162</v>
      </c>
      <c r="C120">
        <v>83.74435561</v>
      </c>
      <c r="D120">
        <v>63.4</v>
      </c>
      <c r="E120">
        <v>100</v>
      </c>
      <c r="F120">
        <v>3366.0296920000001</v>
      </c>
      <c r="G120">
        <v>5024.0101430000004</v>
      </c>
      <c r="H120">
        <v>128745</v>
      </c>
      <c r="I120">
        <v>150748</v>
      </c>
      <c r="J120">
        <v>4211.04</v>
      </c>
      <c r="K120">
        <v>43.274500000000003</v>
      </c>
      <c r="L120">
        <v>31898.18234426</v>
      </c>
      <c r="M120">
        <v>0.01</v>
      </c>
      <c r="N120">
        <v>3.2040000000000002</v>
      </c>
      <c r="O120">
        <v>-0.42219541616403899</v>
      </c>
      <c r="P120">
        <v>2.4829298572315301</v>
      </c>
      <c r="Q120">
        <f t="shared" si="23"/>
        <v>-0.42308917751141462</v>
      </c>
      <c r="R120">
        <f t="shared" si="13"/>
        <v>0.39200363323280407</v>
      </c>
      <c r="S120">
        <f t="shared" si="14"/>
        <v>8.0437107205369358</v>
      </c>
      <c r="T120">
        <f t="shared" si="15"/>
        <v>1.4098924379501676</v>
      </c>
      <c r="U120">
        <f t="shared" si="16"/>
        <v>-21.073801350531074</v>
      </c>
      <c r="V120">
        <f t="shared" si="17"/>
        <v>-9.4539727045552333E-3</v>
      </c>
      <c r="W120">
        <f t="shared" si="18"/>
        <v>21.402951523943354</v>
      </c>
      <c r="X120">
        <f t="shared" si="19"/>
        <v>18.572905924711318</v>
      </c>
      <c r="Y120">
        <f t="shared" si="20"/>
        <v>-2.8716647515783231</v>
      </c>
      <c r="Z120">
        <f t="shared" si="21"/>
        <v>-0.40795251554262713</v>
      </c>
      <c r="AA120">
        <f t="shared" si="22"/>
        <v>0.40456874576957902</v>
      </c>
      <c r="AB120">
        <f t="shared" si="24"/>
        <v>0</v>
      </c>
      <c r="AC120">
        <f t="shared" si="25"/>
        <v>0.38600000000000012</v>
      </c>
    </row>
    <row r="121" spans="1:29" x14ac:dyDescent="0.2">
      <c r="A121" s="1">
        <v>40908</v>
      </c>
      <c r="B121">
        <v>100.709939148073</v>
      </c>
      <c r="C121">
        <v>83.613300280000004</v>
      </c>
      <c r="D121">
        <v>64</v>
      </c>
      <c r="E121">
        <v>99.7</v>
      </c>
      <c r="F121">
        <v>3407.1572040000001</v>
      </c>
      <c r="G121">
        <v>4633.3155150000002</v>
      </c>
      <c r="H121">
        <v>110170</v>
      </c>
      <c r="I121">
        <v>211670</v>
      </c>
      <c r="J121">
        <v>4371.96</v>
      </c>
      <c r="K121">
        <v>43.648600000000002</v>
      </c>
      <c r="L121">
        <v>34026.217489920004</v>
      </c>
      <c r="M121">
        <v>0.02</v>
      </c>
      <c r="N121">
        <v>3.081</v>
      </c>
      <c r="O121">
        <v>0.24227740763168801</v>
      </c>
      <c r="P121">
        <v>1.4714898835070001</v>
      </c>
      <c r="Q121">
        <f t="shared" si="23"/>
        <v>0.24198438910377329</v>
      </c>
      <c r="R121">
        <f t="shared" si="13"/>
        <v>-0.15661710376111193</v>
      </c>
      <c r="S121">
        <f t="shared" si="14"/>
        <v>0.9419221916491558</v>
      </c>
      <c r="T121">
        <f t="shared" si="15"/>
        <v>-0.30045090202987246</v>
      </c>
      <c r="U121">
        <f t="shared" si="16"/>
        <v>1.214436220536999</v>
      </c>
      <c r="V121">
        <f t="shared" si="17"/>
        <v>-8.0955742295406807</v>
      </c>
      <c r="W121">
        <f t="shared" si="18"/>
        <v>-15.580907648631948</v>
      </c>
      <c r="X121">
        <f t="shared" si="19"/>
        <v>33.941888961113328</v>
      </c>
      <c r="Y121">
        <f t="shared" si="20"/>
        <v>3.7501773075559548</v>
      </c>
      <c r="Z121">
        <f t="shared" si="21"/>
        <v>0.86076614803230822</v>
      </c>
      <c r="AA121">
        <f t="shared" si="22"/>
        <v>6.4582301750340658</v>
      </c>
      <c r="AB121">
        <f t="shared" si="24"/>
        <v>0.01</v>
      </c>
      <c r="AC121">
        <f t="shared" si="25"/>
        <v>-0.12300000000000022</v>
      </c>
    </row>
    <row r="122" spans="1:29" x14ac:dyDescent="0.2">
      <c r="A122" s="1">
        <v>40939</v>
      </c>
      <c r="B122">
        <v>103.38742393509099</v>
      </c>
      <c r="C122">
        <v>84.057971010000003</v>
      </c>
      <c r="D122">
        <v>60.5</v>
      </c>
      <c r="E122">
        <v>99.8</v>
      </c>
      <c r="F122">
        <v>4123.4209860000001</v>
      </c>
      <c r="G122">
        <v>5139.4038369999998</v>
      </c>
      <c r="H122">
        <v>126354</v>
      </c>
      <c r="I122">
        <v>142297</v>
      </c>
      <c r="J122">
        <v>4682.4399999999996</v>
      </c>
      <c r="K122">
        <v>43.619100000000003</v>
      </c>
      <c r="L122">
        <v>33564.785194739998</v>
      </c>
      <c r="M122">
        <v>0.06</v>
      </c>
      <c r="N122">
        <v>2.9980000000000002</v>
      </c>
      <c r="O122" s="2">
        <v>2.6586102719033602</v>
      </c>
      <c r="P122">
        <v>1.6148325358852</v>
      </c>
      <c r="Q122">
        <f t="shared" si="23"/>
        <v>2.6238833860766198</v>
      </c>
      <c r="R122">
        <f t="shared" si="13"/>
        <v>0.53040901889232939</v>
      </c>
      <c r="S122">
        <f t="shared" si="14"/>
        <v>-5.6239718322876078</v>
      </c>
      <c r="T122">
        <f t="shared" si="15"/>
        <v>0.10025063496255707</v>
      </c>
      <c r="U122">
        <f t="shared" si="16"/>
        <v>19.080487614285417</v>
      </c>
      <c r="V122">
        <f t="shared" si="17"/>
        <v>10.366438194314732</v>
      </c>
      <c r="W122">
        <f t="shared" si="18"/>
        <v>13.706286407372273</v>
      </c>
      <c r="X122">
        <f t="shared" si="19"/>
        <v>-39.711203547916618</v>
      </c>
      <c r="Y122">
        <f t="shared" si="20"/>
        <v>6.8607920444492212</v>
      </c>
      <c r="Z122">
        <f t="shared" si="21"/>
        <v>-6.760806374790998E-2</v>
      </c>
      <c r="AA122">
        <f t="shared" si="22"/>
        <v>-1.365387242375417</v>
      </c>
      <c r="AB122">
        <f t="shared" si="24"/>
        <v>3.9999999999999994E-2</v>
      </c>
      <c r="AC122">
        <f t="shared" si="25"/>
        <v>-8.2999999999999741E-2</v>
      </c>
    </row>
    <row r="123" spans="1:29" x14ac:dyDescent="0.2">
      <c r="A123" s="1">
        <v>40968</v>
      </c>
      <c r="B123">
        <v>103.56997971602399</v>
      </c>
      <c r="C123">
        <v>84.143222510000001</v>
      </c>
      <c r="D123">
        <v>63.9</v>
      </c>
      <c r="E123">
        <v>99.8</v>
      </c>
      <c r="F123">
        <v>4430.4493730000004</v>
      </c>
      <c r="G123">
        <v>4998.1817209999999</v>
      </c>
      <c r="H123">
        <v>119189</v>
      </c>
      <c r="I123">
        <v>108534</v>
      </c>
      <c r="J123">
        <v>4897.6499999999996</v>
      </c>
      <c r="K123">
        <v>42.660800000000002</v>
      </c>
      <c r="L123">
        <v>33075.381643250003</v>
      </c>
      <c r="M123">
        <v>0.08</v>
      </c>
      <c r="N123">
        <v>2.879</v>
      </c>
      <c r="O123" s="2">
        <v>0.176574455562131</v>
      </c>
      <c r="P123">
        <v>1.8551765409934999</v>
      </c>
      <c r="Q123">
        <f t="shared" si="23"/>
        <v>0.17641874613867542</v>
      </c>
      <c r="R123">
        <f t="shared" si="13"/>
        <v>0.1013684927151636</v>
      </c>
      <c r="S123">
        <f t="shared" si="14"/>
        <v>5.4675996346693418</v>
      </c>
      <c r="T123">
        <f t="shared" si="15"/>
        <v>0</v>
      </c>
      <c r="U123">
        <f t="shared" si="16"/>
        <v>7.1817862282313083</v>
      </c>
      <c r="V123">
        <f t="shared" si="17"/>
        <v>-2.7862897225541019</v>
      </c>
      <c r="W123">
        <f t="shared" si="18"/>
        <v>-5.8377022931876184</v>
      </c>
      <c r="X123">
        <f t="shared" si="19"/>
        <v>-27.085293470536005</v>
      </c>
      <c r="Y123">
        <f t="shared" si="20"/>
        <v>4.4936156652799752</v>
      </c>
      <c r="Z123">
        <f t="shared" si="21"/>
        <v>-2.2214662025832874</v>
      </c>
      <c r="AA123">
        <f t="shared" si="22"/>
        <v>-1.4688209033163873</v>
      </c>
      <c r="AB123">
        <f t="shared" si="24"/>
        <v>2.0000000000000004E-2</v>
      </c>
      <c r="AC123">
        <f t="shared" si="25"/>
        <v>-0.11900000000000022</v>
      </c>
    </row>
    <row r="124" spans="1:29" x14ac:dyDescent="0.2">
      <c r="A124" s="1">
        <v>40999</v>
      </c>
      <c r="B124">
        <v>103.20486815415801</v>
      </c>
      <c r="C124">
        <v>84.313725489999996</v>
      </c>
      <c r="D124">
        <v>70.099999999999994</v>
      </c>
      <c r="E124">
        <v>100</v>
      </c>
      <c r="F124">
        <v>4324.6198000000004</v>
      </c>
      <c r="G124">
        <v>5371.4830099999999</v>
      </c>
      <c r="H124">
        <v>115431</v>
      </c>
      <c r="I124">
        <v>144053</v>
      </c>
      <c r="J124">
        <v>5107.7299999999996</v>
      </c>
      <c r="K124">
        <v>42.857399999999998</v>
      </c>
      <c r="L124">
        <v>34227.067500110003</v>
      </c>
      <c r="M124">
        <v>7.0000000000000007E-2</v>
      </c>
      <c r="N124">
        <v>2.681</v>
      </c>
      <c r="O124">
        <v>-0.35252643948303197</v>
      </c>
      <c r="P124">
        <v>1.73965206958604</v>
      </c>
      <c r="Q124">
        <f t="shared" si="23"/>
        <v>-0.35314927814697</v>
      </c>
      <c r="R124">
        <f t="shared" si="13"/>
        <v>0.20242921440477654</v>
      </c>
      <c r="S124">
        <f t="shared" si="14"/>
        <v>9.2603432657055151</v>
      </c>
      <c r="T124">
        <f t="shared" si="15"/>
        <v>0.20020026706731903</v>
      </c>
      <c r="U124">
        <f t="shared" si="16"/>
        <v>-2.4176788507649034</v>
      </c>
      <c r="V124">
        <f t="shared" si="17"/>
        <v>7.2029845634308991</v>
      </c>
      <c r="W124">
        <f t="shared" si="18"/>
        <v>-3.2037519645407104</v>
      </c>
      <c r="X124">
        <f t="shared" si="19"/>
        <v>28.311779946817222</v>
      </c>
      <c r="Y124">
        <f t="shared" si="20"/>
        <v>4.1999580272797239</v>
      </c>
      <c r="Z124">
        <f t="shared" si="21"/>
        <v>0.45978597853719388</v>
      </c>
      <c r="AA124">
        <f t="shared" si="22"/>
        <v>3.4227529753830233</v>
      </c>
      <c r="AB124">
        <f t="shared" si="24"/>
        <v>-9.999999999999995E-3</v>
      </c>
      <c r="AC124">
        <f t="shared" si="25"/>
        <v>-0.19799999999999995</v>
      </c>
    </row>
    <row r="125" spans="1:29" x14ac:dyDescent="0.2">
      <c r="A125" s="1">
        <v>41029</v>
      </c>
      <c r="B125">
        <v>102.535496957403</v>
      </c>
      <c r="C125">
        <v>84.910485929999993</v>
      </c>
      <c r="D125">
        <v>63</v>
      </c>
      <c r="E125">
        <v>99.9</v>
      </c>
      <c r="F125">
        <v>4635.1718099999998</v>
      </c>
      <c r="G125">
        <v>4788.1164230000004</v>
      </c>
      <c r="H125">
        <v>153268</v>
      </c>
      <c r="I125">
        <v>122244</v>
      </c>
      <c r="J125">
        <v>5202.7</v>
      </c>
      <c r="K125">
        <v>42.699800000000003</v>
      </c>
      <c r="L125">
        <v>34084.445376819996</v>
      </c>
      <c r="M125">
        <v>0.1</v>
      </c>
      <c r="N125">
        <v>2.9159999999999999</v>
      </c>
      <c r="O125">
        <v>-0.64858490566031501</v>
      </c>
      <c r="P125">
        <v>1.3838748495788</v>
      </c>
      <c r="Q125">
        <f t="shared" si="23"/>
        <v>-0.65069735653906324</v>
      </c>
      <c r="R125">
        <f t="shared" si="13"/>
        <v>0.70529259229466168</v>
      </c>
      <c r="S125">
        <f t="shared" si="14"/>
        <v>-10.678806764901164</v>
      </c>
      <c r="T125">
        <f t="shared" si="15"/>
        <v>-0.10005003335834234</v>
      </c>
      <c r="U125">
        <f t="shared" si="16"/>
        <v>6.9349037286683641</v>
      </c>
      <c r="V125">
        <f t="shared" si="17"/>
        <v>-11.496693314887782</v>
      </c>
      <c r="W125">
        <f t="shared" si="18"/>
        <v>28.351507420925532</v>
      </c>
      <c r="X125">
        <f t="shared" si="19"/>
        <v>-16.416224001979554</v>
      </c>
      <c r="Y125">
        <f t="shared" si="20"/>
        <v>1.8422643091264832</v>
      </c>
      <c r="Z125">
        <f t="shared" si="21"/>
        <v>-0.36840892000274472</v>
      </c>
      <c r="AA125">
        <f t="shared" si="22"/>
        <v>-0.41756454955702987</v>
      </c>
      <c r="AB125">
        <f t="shared" si="24"/>
        <v>0.03</v>
      </c>
      <c r="AC125">
        <f t="shared" si="25"/>
        <v>0.23499999999999988</v>
      </c>
    </row>
    <row r="126" spans="1:29" x14ac:dyDescent="0.2">
      <c r="A126" s="1">
        <v>41060</v>
      </c>
      <c r="B126">
        <v>102.413793103448</v>
      </c>
      <c r="C126">
        <v>84.825234440000003</v>
      </c>
      <c r="D126">
        <v>61.1</v>
      </c>
      <c r="E126">
        <v>100</v>
      </c>
      <c r="F126">
        <v>4931.59566</v>
      </c>
      <c r="G126">
        <v>5385.8435689999997</v>
      </c>
      <c r="H126">
        <v>131403</v>
      </c>
      <c r="I126">
        <v>151262</v>
      </c>
      <c r="J126">
        <v>5091.2299999999996</v>
      </c>
      <c r="K126">
        <v>42.851500000000001</v>
      </c>
      <c r="L126">
        <v>33382.302763</v>
      </c>
      <c r="M126">
        <v>7.0000000000000007E-2</v>
      </c>
      <c r="N126">
        <v>2.8769999999999998</v>
      </c>
      <c r="O126">
        <v>-0.118694362017828</v>
      </c>
      <c r="P126">
        <v>1.4466546112115699</v>
      </c>
      <c r="Q126">
        <f t="shared" si="23"/>
        <v>-0.11876485956523981</v>
      </c>
      <c r="R126">
        <f t="shared" si="13"/>
        <v>-0.10045204036347813</v>
      </c>
      <c r="S126">
        <f t="shared" si="14"/>
        <v>-3.0622860213983052</v>
      </c>
      <c r="T126">
        <f t="shared" si="15"/>
        <v>0.10005003335834001</v>
      </c>
      <c r="U126">
        <f t="shared" si="16"/>
        <v>6.198933268095713</v>
      </c>
      <c r="V126">
        <f t="shared" si="17"/>
        <v>11.763684698392506</v>
      </c>
      <c r="W126">
        <f t="shared" si="18"/>
        <v>-15.391908621755434</v>
      </c>
      <c r="X126">
        <f t="shared" si="19"/>
        <v>21.299438521083687</v>
      </c>
      <c r="Y126">
        <f t="shared" si="20"/>
        <v>-2.1658269938562897</v>
      </c>
      <c r="Z126">
        <f t="shared" si="21"/>
        <v>0.3546413882544277</v>
      </c>
      <c r="AA126">
        <f t="shared" si="22"/>
        <v>-2.0815230751898737</v>
      </c>
      <c r="AB126">
        <f t="shared" si="24"/>
        <v>-0.03</v>
      </c>
      <c r="AC126">
        <f t="shared" si="25"/>
        <v>-3.9000000000000146E-2</v>
      </c>
    </row>
    <row r="127" spans="1:29" x14ac:dyDescent="0.2">
      <c r="A127" s="1">
        <v>41090</v>
      </c>
      <c r="B127">
        <v>100.77079107505</v>
      </c>
      <c r="C127">
        <v>85.16624041</v>
      </c>
      <c r="D127">
        <v>68.2</v>
      </c>
      <c r="E127">
        <v>100.3</v>
      </c>
      <c r="F127">
        <v>4314.2319939999998</v>
      </c>
      <c r="G127">
        <v>5103.0261460000002</v>
      </c>
      <c r="H127">
        <v>115276</v>
      </c>
      <c r="I127">
        <v>126914</v>
      </c>
      <c r="J127">
        <v>5246.41</v>
      </c>
      <c r="K127">
        <v>42.776499999999999</v>
      </c>
      <c r="L127">
        <v>34304.210764869997</v>
      </c>
      <c r="M127">
        <v>0.09</v>
      </c>
      <c r="N127">
        <v>3.1429999999999998</v>
      </c>
      <c r="O127">
        <v>-1.6042780748663401</v>
      </c>
      <c r="P127">
        <v>-1.6627078384798499</v>
      </c>
      <c r="Q127">
        <f t="shared" si="23"/>
        <v>-1.6172859245605358</v>
      </c>
      <c r="R127">
        <f t="shared" si="13"/>
        <v>0.40120415181645991</v>
      </c>
      <c r="S127">
        <f t="shared" si="14"/>
        <v>10.993269867186685</v>
      </c>
      <c r="T127">
        <f t="shared" si="15"/>
        <v>0.29955089797983708</v>
      </c>
      <c r="U127">
        <f t="shared" si="16"/>
        <v>-13.374327544680781</v>
      </c>
      <c r="V127">
        <f t="shared" si="17"/>
        <v>-5.3940224243189325</v>
      </c>
      <c r="W127">
        <f t="shared" si="18"/>
        <v>-13.093968387714236</v>
      </c>
      <c r="X127">
        <f t="shared" si="19"/>
        <v>-17.550374088252244</v>
      </c>
      <c r="Y127">
        <f t="shared" si="20"/>
        <v>3.002458151095643</v>
      </c>
      <c r="Z127">
        <f t="shared" si="21"/>
        <v>-0.17517638898311894</v>
      </c>
      <c r="AA127">
        <f t="shared" si="22"/>
        <v>2.7242207297943346</v>
      </c>
      <c r="AB127">
        <f t="shared" si="24"/>
        <v>1.999999999999999E-2</v>
      </c>
      <c r="AC127">
        <f t="shared" si="25"/>
        <v>0.26600000000000001</v>
      </c>
    </row>
    <row r="128" spans="1:29" x14ac:dyDescent="0.2">
      <c r="A128" s="1">
        <v>41121</v>
      </c>
      <c r="B128">
        <v>98.397565922920904</v>
      </c>
      <c r="C128">
        <v>85.42199488</v>
      </c>
      <c r="D128">
        <v>67.2</v>
      </c>
      <c r="E128">
        <v>100.5</v>
      </c>
      <c r="F128">
        <v>4727.3949259999999</v>
      </c>
      <c r="G128">
        <v>5047.2799340000001</v>
      </c>
      <c r="H128">
        <v>123309</v>
      </c>
      <c r="I128">
        <v>162558</v>
      </c>
      <c r="J128">
        <v>5307.66</v>
      </c>
      <c r="K128">
        <v>41.9054</v>
      </c>
      <c r="L128">
        <v>34115.014330860002</v>
      </c>
      <c r="M128">
        <v>0.11</v>
      </c>
      <c r="N128">
        <v>3.0720000000000001</v>
      </c>
      <c r="O128">
        <v>-2.3550724637680802</v>
      </c>
      <c r="P128">
        <v>-1.34228187919463</v>
      </c>
      <c r="Q128">
        <f t="shared" si="23"/>
        <v>-2.3832475368090988</v>
      </c>
      <c r="R128">
        <f t="shared" si="13"/>
        <v>0.29985029294621407</v>
      </c>
      <c r="S128">
        <f t="shared" si="14"/>
        <v>-1.4771317320312543</v>
      </c>
      <c r="T128">
        <f t="shared" si="15"/>
        <v>0.19920325312405765</v>
      </c>
      <c r="U128">
        <f t="shared" si="16"/>
        <v>9.1454971653594637</v>
      </c>
      <c r="V128">
        <f t="shared" si="17"/>
        <v>-1.0984254476481341</v>
      </c>
      <c r="W128">
        <f t="shared" si="18"/>
        <v>6.7364147244219508</v>
      </c>
      <c r="X128">
        <f t="shared" si="19"/>
        <v>24.752516944058232</v>
      </c>
      <c r="Y128">
        <f t="shared" si="20"/>
        <v>1.160702698532176</v>
      </c>
      <c r="Z128">
        <f t="shared" si="21"/>
        <v>-2.0574189469950799</v>
      </c>
      <c r="AA128">
        <f t="shared" si="22"/>
        <v>-0.55305191190144332</v>
      </c>
      <c r="AB128">
        <f t="shared" si="24"/>
        <v>2.0000000000000004E-2</v>
      </c>
      <c r="AC128">
        <f t="shared" si="25"/>
        <v>-7.099999999999973E-2</v>
      </c>
    </row>
    <row r="129" spans="1:29" x14ac:dyDescent="0.2">
      <c r="A129" s="1">
        <v>41152</v>
      </c>
      <c r="B129">
        <v>99.432048681541602</v>
      </c>
      <c r="C129">
        <v>86.104006819999995</v>
      </c>
      <c r="D129">
        <v>65.8</v>
      </c>
      <c r="E129">
        <v>100.2</v>
      </c>
      <c r="F129">
        <v>3809.977241</v>
      </c>
      <c r="G129">
        <v>5183.8257240000003</v>
      </c>
      <c r="H129">
        <v>129408</v>
      </c>
      <c r="I129">
        <v>126885</v>
      </c>
      <c r="J129">
        <v>5196.1899999999996</v>
      </c>
      <c r="K129">
        <v>42.045200000000001</v>
      </c>
      <c r="L129">
        <v>34209.760260609997</v>
      </c>
      <c r="M129">
        <v>0.09</v>
      </c>
      <c r="N129">
        <v>2.7949999999999999</v>
      </c>
      <c r="O129" s="2">
        <v>1.0513296227581901</v>
      </c>
      <c r="P129">
        <v>-0.122249388753061</v>
      </c>
      <c r="Q129">
        <f t="shared" si="23"/>
        <v>1.0458415842841418</v>
      </c>
      <c r="R129">
        <f t="shared" si="13"/>
        <v>0.79523282465938872</v>
      </c>
      <c r="S129">
        <f t="shared" si="14"/>
        <v>-2.105340919783238</v>
      </c>
      <c r="T129">
        <f t="shared" si="15"/>
        <v>-0.29895388483659374</v>
      </c>
      <c r="U129">
        <f t="shared" si="16"/>
        <v>-21.575107954977284</v>
      </c>
      <c r="V129">
        <f t="shared" si="17"/>
        <v>2.6693869184338119</v>
      </c>
      <c r="W129">
        <f t="shared" si="18"/>
        <v>4.8276803750760555</v>
      </c>
      <c r="X129">
        <f t="shared" si="19"/>
        <v>-24.775369674073886</v>
      </c>
      <c r="Y129">
        <f t="shared" si="20"/>
        <v>-2.1225395431179277</v>
      </c>
      <c r="Z129">
        <f t="shared" si="21"/>
        <v>0.33305331761068668</v>
      </c>
      <c r="AA129">
        <f t="shared" si="22"/>
        <v>0.27734007480208733</v>
      </c>
      <c r="AB129">
        <f t="shared" si="24"/>
        <v>-2.0000000000000004E-2</v>
      </c>
      <c r="AC129">
        <f t="shared" si="25"/>
        <v>-0.27700000000000014</v>
      </c>
    </row>
    <row r="130" spans="1:29" x14ac:dyDescent="0.2">
      <c r="A130" s="1">
        <v>41182</v>
      </c>
      <c r="B130">
        <v>98.7018255578093</v>
      </c>
      <c r="C130">
        <v>86.104006819999995</v>
      </c>
      <c r="D130">
        <v>69.099999999999994</v>
      </c>
      <c r="E130">
        <v>100.2</v>
      </c>
      <c r="F130">
        <v>4810.7954380000001</v>
      </c>
      <c r="G130">
        <v>5326.588737</v>
      </c>
      <c r="H130">
        <v>105309</v>
      </c>
      <c r="I130">
        <v>138143</v>
      </c>
      <c r="J130">
        <v>5346.1</v>
      </c>
      <c r="K130">
        <v>41.749000000000002</v>
      </c>
      <c r="L130">
        <v>34824.446235919997</v>
      </c>
      <c r="M130">
        <v>0.1</v>
      </c>
      <c r="N130">
        <v>2.7080000000000002</v>
      </c>
      <c r="O130">
        <v>-0.73439412484699895</v>
      </c>
      <c r="P130">
        <v>-1.51791135397688</v>
      </c>
      <c r="Q130">
        <f t="shared" si="23"/>
        <v>-0.73710407445904402</v>
      </c>
      <c r="R130">
        <f t="shared" si="13"/>
        <v>0</v>
      </c>
      <c r="S130">
        <f t="shared" si="14"/>
        <v>4.8934892442352735</v>
      </c>
      <c r="T130">
        <f t="shared" si="15"/>
        <v>0</v>
      </c>
      <c r="U130">
        <f t="shared" si="16"/>
        <v>23.323922654089042</v>
      </c>
      <c r="V130">
        <f t="shared" si="17"/>
        <v>2.716768103355423</v>
      </c>
      <c r="W130">
        <f t="shared" si="18"/>
        <v>-20.607131838491121</v>
      </c>
      <c r="X130">
        <f t="shared" si="19"/>
        <v>8.500821609952208</v>
      </c>
      <c r="Y130">
        <f t="shared" si="20"/>
        <v>2.8441658386545452</v>
      </c>
      <c r="Z130">
        <f t="shared" si="21"/>
        <v>-0.70697311675293495</v>
      </c>
      <c r="AA130">
        <f t="shared" si="22"/>
        <v>1.7808627111536839</v>
      </c>
      <c r="AB130">
        <f t="shared" si="24"/>
        <v>1.0000000000000009E-2</v>
      </c>
      <c r="AC130">
        <f t="shared" si="25"/>
        <v>-8.6999999999999744E-2</v>
      </c>
    </row>
    <row r="131" spans="1:29" x14ac:dyDescent="0.2">
      <c r="A131" s="1">
        <v>41213</v>
      </c>
      <c r="B131">
        <v>97.849898580121703</v>
      </c>
      <c r="C131">
        <v>86.104006819999995</v>
      </c>
      <c r="D131">
        <v>70.7</v>
      </c>
      <c r="E131">
        <v>99.9</v>
      </c>
      <c r="F131">
        <v>4410.1083369999997</v>
      </c>
      <c r="G131">
        <v>5276.8551310000003</v>
      </c>
      <c r="H131">
        <v>134320</v>
      </c>
      <c r="I131">
        <v>145984</v>
      </c>
      <c r="J131">
        <v>5424.51</v>
      </c>
      <c r="K131">
        <v>41.452100000000002</v>
      </c>
      <c r="L131">
        <v>35473.832404859997</v>
      </c>
      <c r="M131">
        <v>0.11</v>
      </c>
      <c r="N131">
        <v>2.956</v>
      </c>
      <c r="O131">
        <v>-0.86313193588161996</v>
      </c>
      <c r="P131">
        <v>-3.0156815440289302</v>
      </c>
      <c r="Q131">
        <f t="shared" si="23"/>
        <v>-0.86687849364462755</v>
      </c>
      <c r="R131">
        <f t="shared" ref="R131:R194" si="26">LN(C131/C130)*100</f>
        <v>0</v>
      </c>
      <c r="S131">
        <f t="shared" ref="S131:S194" si="27">LN(D131/D130)*100</f>
        <v>2.2890842128902902</v>
      </c>
      <c r="T131">
        <f t="shared" ref="T131:T194" si="28">LN(E131/E130)*100</f>
        <v>-0.29985029962565574</v>
      </c>
      <c r="U131">
        <f t="shared" ref="U131:U194" si="29">LN(F131/F130)*100</f>
        <v>-8.696318680068309</v>
      </c>
      <c r="V131">
        <f t="shared" ref="V131:V194" si="30">LN(G131/G130)*100</f>
        <v>-0.93807203250297</v>
      </c>
      <c r="W131">
        <f t="shared" ref="W131:W194" si="31">LN(H131/H130)*100</f>
        <v>24.332612719624517</v>
      </c>
      <c r="X131">
        <f t="shared" ref="X131:X194" si="32">LN(I131/I130)*100</f>
        <v>5.520764613831318</v>
      </c>
      <c r="Y131">
        <f t="shared" ref="Y131:Y194" si="33">LN(J131/J130)*100</f>
        <v>1.4560249650506787</v>
      </c>
      <c r="Z131">
        <f t="shared" ref="Z131:Z194" si="34">LN(K131/K130)*100</f>
        <v>-0.71369551663057063</v>
      </c>
      <c r="AA131">
        <f t="shared" ref="AA131:AA194" si="35">LN(L131/L130)*100</f>
        <v>1.8475691120317752</v>
      </c>
      <c r="AB131">
        <f t="shared" si="24"/>
        <v>9.999999999999995E-3</v>
      </c>
      <c r="AC131">
        <f t="shared" si="25"/>
        <v>0.24799999999999978</v>
      </c>
    </row>
    <row r="132" spans="1:29" x14ac:dyDescent="0.2">
      <c r="A132" s="1">
        <v>41243</v>
      </c>
      <c r="B132">
        <v>97.058823529411697</v>
      </c>
      <c r="C132">
        <v>86.104006819999995</v>
      </c>
      <c r="D132">
        <v>70.8</v>
      </c>
      <c r="E132">
        <v>99.6</v>
      </c>
      <c r="F132">
        <v>3611.0097890000002</v>
      </c>
      <c r="G132">
        <v>5207.7373969999999</v>
      </c>
      <c r="H132">
        <v>155308</v>
      </c>
      <c r="I132">
        <v>166783</v>
      </c>
      <c r="J132">
        <v>5640.45</v>
      </c>
      <c r="K132">
        <v>41.122199999999999</v>
      </c>
      <c r="L132">
        <v>36976.094941099997</v>
      </c>
      <c r="M132">
        <v>0.08</v>
      </c>
      <c r="N132">
        <v>3.0710000000000002</v>
      </c>
      <c r="O132">
        <v>-0.808457711442786</v>
      </c>
      <c r="P132">
        <v>-3.3918837068443302</v>
      </c>
      <c r="Q132">
        <f t="shared" ref="Q132:Q195" si="36">LN(B132/B131)*100</f>
        <v>-0.81174345199674391</v>
      </c>
      <c r="R132">
        <f t="shared" si="26"/>
        <v>0</v>
      </c>
      <c r="S132">
        <f t="shared" si="27"/>
        <v>0.14134277971469428</v>
      </c>
      <c r="T132">
        <f t="shared" si="28"/>
        <v>-0.30075210639554401</v>
      </c>
      <c r="U132">
        <f t="shared" si="29"/>
        <v>-19.991180219510387</v>
      </c>
      <c r="V132">
        <f t="shared" si="30"/>
        <v>-1.3184820505929644</v>
      </c>
      <c r="W132">
        <f t="shared" si="31"/>
        <v>14.518522925885428</v>
      </c>
      <c r="X132">
        <f t="shared" si="32"/>
        <v>13.319653960345596</v>
      </c>
      <c r="Y132">
        <f t="shared" si="33"/>
        <v>3.9036276794629865</v>
      </c>
      <c r="Z132">
        <f t="shared" si="34"/>
        <v>-0.7990422086637573</v>
      </c>
      <c r="AA132">
        <f t="shared" si="35"/>
        <v>4.1476311847686471</v>
      </c>
      <c r="AB132">
        <f t="shared" ref="AB132:AB195" si="37">M132-M131</f>
        <v>-0.03</v>
      </c>
      <c r="AC132">
        <f t="shared" ref="AC132:AC195" si="38">N132-N131</f>
        <v>0.11500000000000021</v>
      </c>
    </row>
    <row r="133" spans="1:29" x14ac:dyDescent="0.2">
      <c r="A133" s="1">
        <v>41274</v>
      </c>
      <c r="B133">
        <v>96.693711967545596</v>
      </c>
      <c r="C133">
        <v>86.018755330000005</v>
      </c>
      <c r="D133">
        <v>70.7</v>
      </c>
      <c r="E133">
        <v>100</v>
      </c>
      <c r="F133">
        <v>3970.745308</v>
      </c>
      <c r="G133">
        <v>5300.3159889999997</v>
      </c>
      <c r="H133">
        <v>126357</v>
      </c>
      <c r="I133">
        <v>242102</v>
      </c>
      <c r="J133">
        <v>5812.73</v>
      </c>
      <c r="K133">
        <v>41.006700000000002</v>
      </c>
      <c r="L133">
        <v>38999.699694490002</v>
      </c>
      <c r="M133">
        <v>0.05</v>
      </c>
      <c r="N133">
        <v>3.0630000000000002</v>
      </c>
      <c r="O133">
        <v>-0.37617554858934599</v>
      </c>
      <c r="P133">
        <v>-3.9879154078549401</v>
      </c>
      <c r="Q133">
        <f t="shared" si="36"/>
        <v>-0.37688486822287398</v>
      </c>
      <c r="R133">
        <f t="shared" si="26"/>
        <v>-9.9058945959640335E-2</v>
      </c>
      <c r="S133">
        <f t="shared" si="27"/>
        <v>-0.14134277971469639</v>
      </c>
      <c r="T133">
        <f t="shared" si="28"/>
        <v>0.40080213975388679</v>
      </c>
      <c r="U133">
        <f t="shared" si="29"/>
        <v>9.4966358916623097</v>
      </c>
      <c r="V133">
        <f t="shared" si="30"/>
        <v>1.7620958714965025</v>
      </c>
      <c r="W133">
        <f t="shared" si="31"/>
        <v>-20.629900806650198</v>
      </c>
      <c r="X133">
        <f t="shared" si="32"/>
        <v>37.266555869366478</v>
      </c>
      <c r="Y133">
        <f t="shared" si="33"/>
        <v>3.0086490461902171</v>
      </c>
      <c r="Z133">
        <f t="shared" si="34"/>
        <v>-0.28126536735195723</v>
      </c>
      <c r="AA133">
        <f t="shared" si="35"/>
        <v>5.3282324788817013</v>
      </c>
      <c r="AB133">
        <f t="shared" si="37"/>
        <v>-0.03</v>
      </c>
      <c r="AC133">
        <f t="shared" si="38"/>
        <v>-8.0000000000000071E-3</v>
      </c>
    </row>
    <row r="134" spans="1:29" x14ac:dyDescent="0.2">
      <c r="A134" s="1">
        <v>41305</v>
      </c>
      <c r="B134">
        <v>93.286004056795093</v>
      </c>
      <c r="C134">
        <v>86.445012790000007</v>
      </c>
      <c r="D134">
        <v>66.599999999999994</v>
      </c>
      <c r="E134">
        <v>100.5</v>
      </c>
      <c r="F134">
        <v>4514.3123690000002</v>
      </c>
      <c r="G134">
        <v>4776.9048899999998</v>
      </c>
      <c r="H134">
        <v>138368</v>
      </c>
      <c r="I134">
        <v>157899</v>
      </c>
      <c r="J134">
        <v>6242.74</v>
      </c>
      <c r="K134">
        <v>40.729500000000002</v>
      </c>
      <c r="L134">
        <v>38460.733384209998</v>
      </c>
      <c r="M134">
        <v>7.0000000000000007E-2</v>
      </c>
      <c r="N134">
        <v>2.851</v>
      </c>
      <c r="O134">
        <v>-3.5242290748898699</v>
      </c>
      <c r="P134">
        <v>-9.7704532077692701</v>
      </c>
      <c r="Q134">
        <f t="shared" si="36"/>
        <v>-3.5878287664901793</v>
      </c>
      <c r="R134">
        <f t="shared" si="26"/>
        <v>0.49431638031373765</v>
      </c>
      <c r="S134">
        <f t="shared" si="27"/>
        <v>-5.9740995356183744</v>
      </c>
      <c r="T134">
        <f t="shared" si="28"/>
        <v>0.49875415110389681</v>
      </c>
      <c r="U134">
        <f t="shared" si="29"/>
        <v>12.829906395375664</v>
      </c>
      <c r="V134">
        <f t="shared" si="30"/>
        <v>-10.397361512260664</v>
      </c>
      <c r="W134">
        <f t="shared" si="31"/>
        <v>9.0805568615050731</v>
      </c>
      <c r="X134">
        <f t="shared" si="32"/>
        <v>-42.74035368397309</v>
      </c>
      <c r="Y134">
        <f t="shared" si="33"/>
        <v>7.1368848545039709</v>
      </c>
      <c r="Z134">
        <f t="shared" si="34"/>
        <v>-0.67828223664294951</v>
      </c>
      <c r="AA134">
        <f t="shared" si="35"/>
        <v>-1.3916137227680878</v>
      </c>
      <c r="AB134">
        <f t="shared" si="37"/>
        <v>2.0000000000000004E-2</v>
      </c>
      <c r="AC134">
        <f t="shared" si="38"/>
        <v>-0.21200000000000019</v>
      </c>
    </row>
    <row r="135" spans="1:29" x14ac:dyDescent="0.2">
      <c r="A135" s="1">
        <v>41333</v>
      </c>
      <c r="B135">
        <v>93.590263691683504</v>
      </c>
      <c r="C135">
        <v>86.615515770000002</v>
      </c>
      <c r="D135">
        <v>66.5</v>
      </c>
      <c r="E135">
        <v>100.7</v>
      </c>
      <c r="F135">
        <v>4174.3189629999997</v>
      </c>
      <c r="G135">
        <v>4707.7077159999999</v>
      </c>
      <c r="H135">
        <v>112348</v>
      </c>
      <c r="I135">
        <v>124097</v>
      </c>
      <c r="J135">
        <v>6721.45</v>
      </c>
      <c r="K135">
        <v>40.6723</v>
      </c>
      <c r="L135">
        <v>39068.763519829998</v>
      </c>
      <c r="M135">
        <v>0.11</v>
      </c>
      <c r="N135">
        <v>2.3119999999999998</v>
      </c>
      <c r="O135" s="2">
        <v>0.32615786040443701</v>
      </c>
      <c r="P135">
        <v>-9.6357226792009705</v>
      </c>
      <c r="Q135">
        <f t="shared" si="36"/>
        <v>0.32562711937747707</v>
      </c>
      <c r="R135">
        <f t="shared" si="26"/>
        <v>0.19704439433490939</v>
      </c>
      <c r="S135">
        <f t="shared" si="27"/>
        <v>-0.15026298845349076</v>
      </c>
      <c r="T135">
        <f t="shared" si="28"/>
        <v>0.19880722253861152</v>
      </c>
      <c r="U135">
        <f t="shared" si="29"/>
        <v>-7.8301653683293768</v>
      </c>
      <c r="V135">
        <f t="shared" si="30"/>
        <v>-1.4591719166348649</v>
      </c>
      <c r="W135">
        <f t="shared" si="31"/>
        <v>-20.831560561692765</v>
      </c>
      <c r="X135">
        <f t="shared" si="32"/>
        <v>-24.089207025413138</v>
      </c>
      <c r="Y135">
        <f t="shared" si="33"/>
        <v>7.3884716500641687</v>
      </c>
      <c r="Z135">
        <f t="shared" si="34"/>
        <v>-0.14053745596421624</v>
      </c>
      <c r="AA135">
        <f t="shared" si="35"/>
        <v>1.5685452019167823</v>
      </c>
      <c r="AB135">
        <f t="shared" si="37"/>
        <v>3.9999999999999994E-2</v>
      </c>
      <c r="AC135">
        <f t="shared" si="38"/>
        <v>-0.53900000000000015</v>
      </c>
    </row>
    <row r="136" spans="1:29" x14ac:dyDescent="0.2">
      <c r="A136" s="1">
        <v>41364</v>
      </c>
      <c r="B136">
        <v>92.860040567951302</v>
      </c>
      <c r="C136">
        <v>86.615515770000002</v>
      </c>
      <c r="D136">
        <v>67.400000000000006</v>
      </c>
      <c r="E136">
        <v>100.7</v>
      </c>
      <c r="F136">
        <v>4698.585403</v>
      </c>
      <c r="G136">
        <v>4951.8676519999999</v>
      </c>
      <c r="H136">
        <v>113609</v>
      </c>
      <c r="I136">
        <v>148807</v>
      </c>
      <c r="J136">
        <v>6847.47</v>
      </c>
      <c r="K136">
        <v>40.712699999999998</v>
      </c>
      <c r="L136">
        <v>40478.935379440001</v>
      </c>
      <c r="M136">
        <v>7.0000000000000007E-2</v>
      </c>
      <c r="N136">
        <v>2.024</v>
      </c>
      <c r="O136">
        <v>-0.78023407022106395</v>
      </c>
      <c r="P136">
        <v>-10.0235849056603</v>
      </c>
      <c r="Q136">
        <f t="shared" si="36"/>
        <v>-0.78329382211863885</v>
      </c>
      <c r="R136">
        <f t="shared" si="26"/>
        <v>0</v>
      </c>
      <c r="S136">
        <f t="shared" si="27"/>
        <v>1.3443070256452905</v>
      </c>
      <c r="T136">
        <f t="shared" si="28"/>
        <v>0</v>
      </c>
      <c r="U136">
        <f t="shared" si="29"/>
        <v>11.831026296576805</v>
      </c>
      <c r="V136">
        <f t="shared" si="30"/>
        <v>5.0563703795977331</v>
      </c>
      <c r="W136">
        <f t="shared" si="31"/>
        <v>1.1161531541240388</v>
      </c>
      <c r="X136">
        <f t="shared" si="32"/>
        <v>18.158664643807491</v>
      </c>
      <c r="Y136">
        <f t="shared" si="33"/>
        <v>1.8575335915729585</v>
      </c>
      <c r="Z136">
        <f t="shared" si="34"/>
        <v>9.9281202478188488E-2</v>
      </c>
      <c r="AA136">
        <f t="shared" si="35"/>
        <v>3.5458463968136456</v>
      </c>
      <c r="AB136">
        <f t="shared" si="37"/>
        <v>-3.9999999999999994E-2</v>
      </c>
      <c r="AC136">
        <f t="shared" si="38"/>
        <v>-0.28799999999999981</v>
      </c>
    </row>
    <row r="137" spans="1:29" x14ac:dyDescent="0.2">
      <c r="A137" s="1">
        <v>41394</v>
      </c>
      <c r="B137">
        <v>92.677484787018201</v>
      </c>
      <c r="C137">
        <v>86.786018760000005</v>
      </c>
      <c r="D137">
        <v>65</v>
      </c>
      <c r="E137">
        <v>101</v>
      </c>
      <c r="F137">
        <v>4506.5043779999996</v>
      </c>
      <c r="G137">
        <v>5153.2474620000003</v>
      </c>
      <c r="H137">
        <v>190010</v>
      </c>
      <c r="I137">
        <v>153207</v>
      </c>
      <c r="J137">
        <v>7070.99</v>
      </c>
      <c r="K137">
        <v>41.142200000000003</v>
      </c>
      <c r="L137">
        <v>41363.03143979</v>
      </c>
      <c r="M137">
        <v>0.05</v>
      </c>
      <c r="N137">
        <v>1.7989999999999999</v>
      </c>
      <c r="O137">
        <v>-0.19659239842725701</v>
      </c>
      <c r="P137">
        <v>-9.6142433234421496</v>
      </c>
      <c r="Q137">
        <f t="shared" si="36"/>
        <v>-0.19678589492408738</v>
      </c>
      <c r="R137">
        <f t="shared" si="26"/>
        <v>0.19665690434900446</v>
      </c>
      <c r="S137">
        <f t="shared" si="27"/>
        <v>-3.6257748022624359</v>
      </c>
      <c r="T137">
        <f t="shared" si="28"/>
        <v>0.29747171167428749</v>
      </c>
      <c r="U137">
        <f t="shared" si="29"/>
        <v>-4.1739714828424974</v>
      </c>
      <c r="V137">
        <f t="shared" si="30"/>
        <v>3.9862282238406133</v>
      </c>
      <c r="W137">
        <f t="shared" si="31"/>
        <v>51.431397385343935</v>
      </c>
      <c r="X137">
        <f t="shared" si="32"/>
        <v>2.9139783865396254</v>
      </c>
      <c r="Y137">
        <f t="shared" si="33"/>
        <v>3.2121257409487671</v>
      </c>
      <c r="Z137">
        <f t="shared" si="34"/>
        <v>1.0494275644405584</v>
      </c>
      <c r="AA137">
        <f t="shared" si="35"/>
        <v>2.1605796794749392</v>
      </c>
      <c r="AB137">
        <f t="shared" si="37"/>
        <v>-2.0000000000000004E-2</v>
      </c>
      <c r="AC137">
        <f t="shared" si="38"/>
        <v>-0.22500000000000009</v>
      </c>
    </row>
    <row r="138" spans="1:29" x14ac:dyDescent="0.2">
      <c r="A138" s="1">
        <v>41425</v>
      </c>
      <c r="B138">
        <v>92.677484787018201</v>
      </c>
      <c r="C138">
        <v>86.786018760000005</v>
      </c>
      <c r="D138">
        <v>68.8</v>
      </c>
      <c r="E138">
        <v>101.2</v>
      </c>
      <c r="F138">
        <v>5131.3436519999996</v>
      </c>
      <c r="G138">
        <v>5272.1008750000001</v>
      </c>
      <c r="H138">
        <v>154039</v>
      </c>
      <c r="I138">
        <v>167203</v>
      </c>
      <c r="J138">
        <v>7021.95</v>
      </c>
      <c r="K138">
        <v>41.297600000000003</v>
      </c>
      <c r="L138">
        <v>40531.569391609999</v>
      </c>
      <c r="M138">
        <v>0.04</v>
      </c>
      <c r="N138">
        <v>1.4139999999999999</v>
      </c>
      <c r="O138">
        <v>0</v>
      </c>
      <c r="P138">
        <v>-9.5068330362447906</v>
      </c>
      <c r="Q138">
        <f t="shared" si="36"/>
        <v>0</v>
      </c>
      <c r="R138">
        <f t="shared" si="26"/>
        <v>0</v>
      </c>
      <c r="S138">
        <f t="shared" si="27"/>
        <v>5.681647504366075</v>
      </c>
      <c r="T138">
        <f t="shared" si="28"/>
        <v>0.19782400121057206</v>
      </c>
      <c r="U138">
        <f t="shared" si="29"/>
        <v>12.984577485584964</v>
      </c>
      <c r="V138">
        <f t="shared" si="30"/>
        <v>2.2801840029548761</v>
      </c>
      <c r="W138">
        <f t="shared" si="31"/>
        <v>-20.98708852491108</v>
      </c>
      <c r="X138">
        <f t="shared" si="32"/>
        <v>8.74186949047143</v>
      </c>
      <c r="Y138">
        <f t="shared" si="33"/>
        <v>-0.69595411515852323</v>
      </c>
      <c r="Z138">
        <f t="shared" si="34"/>
        <v>0.37700281674569469</v>
      </c>
      <c r="AA138">
        <f t="shared" si="35"/>
        <v>-2.0306359895178079</v>
      </c>
      <c r="AB138">
        <f t="shared" si="37"/>
        <v>-1.0000000000000002E-2</v>
      </c>
      <c r="AC138">
        <f t="shared" si="38"/>
        <v>-0.38500000000000001</v>
      </c>
    </row>
    <row r="139" spans="1:29" x14ac:dyDescent="0.2">
      <c r="A139" s="1">
        <v>41455</v>
      </c>
      <c r="B139">
        <v>93.286004056795093</v>
      </c>
      <c r="C139">
        <v>87.297527709999997</v>
      </c>
      <c r="D139">
        <v>68.2</v>
      </c>
      <c r="E139">
        <v>101.5</v>
      </c>
      <c r="F139">
        <v>4490.2011849999999</v>
      </c>
      <c r="G139">
        <v>4889.6917249999997</v>
      </c>
      <c r="H139">
        <v>131089</v>
      </c>
      <c r="I139">
        <v>139540</v>
      </c>
      <c r="J139">
        <v>6465.28</v>
      </c>
      <c r="K139">
        <v>42.9069</v>
      </c>
      <c r="L139">
        <v>41087.750310240001</v>
      </c>
      <c r="M139">
        <v>0.04</v>
      </c>
      <c r="N139">
        <v>1.306</v>
      </c>
      <c r="O139" s="2">
        <v>0.65659881812211995</v>
      </c>
      <c r="P139">
        <v>-7.4275362318840301</v>
      </c>
      <c r="Q139">
        <f t="shared" si="36"/>
        <v>0.65445259766524899</v>
      </c>
      <c r="R139">
        <f t="shared" si="26"/>
        <v>0.58766084725563517</v>
      </c>
      <c r="S139">
        <f t="shared" si="27"/>
        <v>-0.87591800898814653</v>
      </c>
      <c r="T139">
        <f t="shared" si="28"/>
        <v>0.29600416284767256</v>
      </c>
      <c r="U139">
        <f t="shared" si="29"/>
        <v>-13.347003725532739</v>
      </c>
      <c r="V139">
        <f t="shared" si="30"/>
        <v>-7.52996715445909</v>
      </c>
      <c r="W139">
        <f t="shared" si="31"/>
        <v>-16.132933527164507</v>
      </c>
      <c r="X139">
        <f t="shared" si="32"/>
        <v>-18.085734456227659</v>
      </c>
      <c r="Y139">
        <f t="shared" si="33"/>
        <v>-8.2594635824952309</v>
      </c>
      <c r="Z139">
        <f t="shared" si="34"/>
        <v>3.8228265263269265</v>
      </c>
      <c r="AA139">
        <f t="shared" si="35"/>
        <v>1.3628869480183901</v>
      </c>
      <c r="AB139">
        <f t="shared" si="37"/>
        <v>0</v>
      </c>
      <c r="AC139">
        <f t="shared" si="38"/>
        <v>-0.10799999999999987</v>
      </c>
    </row>
    <row r="140" spans="1:29" x14ac:dyDescent="0.2">
      <c r="A140" s="1">
        <v>41486</v>
      </c>
      <c r="B140">
        <v>92.190669371196705</v>
      </c>
      <c r="C140">
        <v>87.468030690000006</v>
      </c>
      <c r="D140">
        <v>69</v>
      </c>
      <c r="E140">
        <v>102.7</v>
      </c>
      <c r="F140">
        <v>4858.7942549999998</v>
      </c>
      <c r="G140">
        <v>5494.1531320000004</v>
      </c>
      <c r="H140">
        <v>144622</v>
      </c>
      <c r="I140">
        <v>197844</v>
      </c>
      <c r="J140">
        <v>6639.12</v>
      </c>
      <c r="K140">
        <v>43.355899999999998</v>
      </c>
      <c r="L140">
        <v>42752.688583850002</v>
      </c>
      <c r="M140">
        <v>0.04</v>
      </c>
      <c r="N140">
        <v>1.1859999999999999</v>
      </c>
      <c r="O140">
        <v>-1.17416829745597</v>
      </c>
      <c r="P140">
        <v>-6.3079777365491596</v>
      </c>
      <c r="Q140">
        <f t="shared" si="36"/>
        <v>-1.1811160928344719</v>
      </c>
      <c r="R140">
        <f t="shared" si="26"/>
        <v>0.19512200877192473</v>
      </c>
      <c r="S140">
        <f t="shared" si="27"/>
        <v>1.1661939747842958</v>
      </c>
      <c r="T140">
        <f t="shared" si="28"/>
        <v>1.175331845267064</v>
      </c>
      <c r="U140">
        <f t="shared" si="29"/>
        <v>7.8892803352556413</v>
      </c>
      <c r="V140">
        <f t="shared" si="30"/>
        <v>11.655520029566233</v>
      </c>
      <c r="W140">
        <f t="shared" si="31"/>
        <v>9.8246960163368637</v>
      </c>
      <c r="X140">
        <f t="shared" si="32"/>
        <v>34.912754285595128</v>
      </c>
      <c r="Y140">
        <f t="shared" si="33"/>
        <v>2.6533103167526728</v>
      </c>
      <c r="Z140">
        <f t="shared" si="34"/>
        <v>1.0410143303425874</v>
      </c>
      <c r="AA140">
        <f t="shared" si="35"/>
        <v>3.9722053157418431</v>
      </c>
      <c r="AB140">
        <f t="shared" si="37"/>
        <v>0</v>
      </c>
      <c r="AC140">
        <f t="shared" si="38"/>
        <v>-0.12000000000000011</v>
      </c>
    </row>
    <row r="141" spans="1:29" x14ac:dyDescent="0.2">
      <c r="A141" s="1">
        <v>41517</v>
      </c>
      <c r="B141">
        <v>93.042596348884402</v>
      </c>
      <c r="C141">
        <v>87.638533670000001</v>
      </c>
      <c r="D141">
        <v>68.3</v>
      </c>
      <c r="E141">
        <v>101.9</v>
      </c>
      <c r="F141">
        <v>4956.0178560000004</v>
      </c>
      <c r="G141">
        <v>5563.844462</v>
      </c>
      <c r="H141">
        <v>155139</v>
      </c>
      <c r="I141">
        <v>133238</v>
      </c>
      <c r="J141">
        <v>6075.17</v>
      </c>
      <c r="K141">
        <v>43.863900000000001</v>
      </c>
      <c r="L141">
        <v>40510.561425749998</v>
      </c>
      <c r="M141">
        <v>0.03</v>
      </c>
      <c r="N141">
        <v>1.04</v>
      </c>
      <c r="O141" s="2">
        <v>0.92409240924092695</v>
      </c>
      <c r="P141">
        <v>-6.4259485924112498</v>
      </c>
      <c r="Q141">
        <f t="shared" si="36"/>
        <v>0.91984879855935997</v>
      </c>
      <c r="R141">
        <f t="shared" si="26"/>
        <v>0.19474202410222735</v>
      </c>
      <c r="S141">
        <f t="shared" si="27"/>
        <v>-1.0196738020515093</v>
      </c>
      <c r="T141">
        <f t="shared" si="28"/>
        <v>-0.78201767058334337</v>
      </c>
      <c r="U141">
        <f t="shared" si="29"/>
        <v>1.981225521340878</v>
      </c>
      <c r="V141">
        <f t="shared" si="30"/>
        <v>1.260485944815056</v>
      </c>
      <c r="W141">
        <f t="shared" si="31"/>
        <v>7.0198047253999487</v>
      </c>
      <c r="X141">
        <f t="shared" si="32"/>
        <v>-39.534183866157683</v>
      </c>
      <c r="Y141">
        <f t="shared" si="33"/>
        <v>-8.8769452210793229</v>
      </c>
      <c r="Z141">
        <f t="shared" si="34"/>
        <v>1.1648862860296811</v>
      </c>
      <c r="AA141">
        <f t="shared" si="35"/>
        <v>-5.3869368194713729</v>
      </c>
      <c r="AB141">
        <f t="shared" si="37"/>
        <v>-1.0000000000000002E-2</v>
      </c>
      <c r="AC141">
        <f t="shared" si="38"/>
        <v>-0.14599999999999991</v>
      </c>
    </row>
    <row r="142" spans="1:29" x14ac:dyDescent="0.2">
      <c r="A142" s="1">
        <v>41547</v>
      </c>
      <c r="B142">
        <v>91.947261663286</v>
      </c>
      <c r="C142">
        <v>88.064791130000003</v>
      </c>
      <c r="D142">
        <v>71.7</v>
      </c>
      <c r="E142">
        <v>102.4</v>
      </c>
      <c r="F142">
        <v>5056.2091220000002</v>
      </c>
      <c r="G142">
        <v>5719.1864649999998</v>
      </c>
      <c r="H142">
        <v>127336</v>
      </c>
      <c r="I142">
        <v>145952</v>
      </c>
      <c r="J142">
        <v>6191.8</v>
      </c>
      <c r="K142">
        <v>43.831800000000001</v>
      </c>
      <c r="L142">
        <v>42106.891478860001</v>
      </c>
      <c r="M142">
        <v>0.02</v>
      </c>
      <c r="N142">
        <v>1.1779999999999999</v>
      </c>
      <c r="O142">
        <v>-1.17724002616089</v>
      </c>
      <c r="P142">
        <v>-6.8434032059186203</v>
      </c>
      <c r="Q142">
        <f t="shared" si="36"/>
        <v>-1.1842243656323037</v>
      </c>
      <c r="R142">
        <f t="shared" si="26"/>
        <v>0.48520231103824873</v>
      </c>
      <c r="S142">
        <f t="shared" si="27"/>
        <v>4.8580981028830355</v>
      </c>
      <c r="T142">
        <f t="shared" si="28"/>
        <v>0.4894772376728207</v>
      </c>
      <c r="U142">
        <f t="shared" si="29"/>
        <v>2.0014450478295984</v>
      </c>
      <c r="V142">
        <f t="shared" si="30"/>
        <v>2.7537249556894379</v>
      </c>
      <c r="W142">
        <f t="shared" si="31"/>
        <v>-19.749222712349955</v>
      </c>
      <c r="X142">
        <f t="shared" si="32"/>
        <v>9.1140797823825004</v>
      </c>
      <c r="Y142">
        <f t="shared" si="33"/>
        <v>1.9015863650001277</v>
      </c>
      <c r="Z142">
        <f t="shared" si="34"/>
        <v>-7.3207697603481531E-2</v>
      </c>
      <c r="AA142">
        <f t="shared" si="35"/>
        <v>3.8648704315843836</v>
      </c>
      <c r="AB142">
        <f t="shared" si="37"/>
        <v>-9.9999999999999985E-3</v>
      </c>
      <c r="AC142">
        <f t="shared" si="38"/>
        <v>0.1379999999999999</v>
      </c>
    </row>
    <row r="143" spans="1:29" x14ac:dyDescent="0.2">
      <c r="A143" s="1">
        <v>41578</v>
      </c>
      <c r="B143">
        <v>92.251521298174396</v>
      </c>
      <c r="C143">
        <v>88.150042630000002</v>
      </c>
      <c r="D143">
        <v>73.3</v>
      </c>
      <c r="E143">
        <v>102.1</v>
      </c>
      <c r="F143">
        <v>5026.6702859999996</v>
      </c>
      <c r="G143">
        <v>4844.0307119999998</v>
      </c>
      <c r="H143">
        <v>134309</v>
      </c>
      <c r="I143">
        <v>145546</v>
      </c>
      <c r="J143">
        <v>6585.38</v>
      </c>
      <c r="K143">
        <v>43.182499999999997</v>
      </c>
      <c r="L143">
        <v>43124.869551590004</v>
      </c>
      <c r="M143">
        <v>0.04</v>
      </c>
      <c r="N143">
        <v>1.071</v>
      </c>
      <c r="O143" s="2">
        <v>0.33090668431502501</v>
      </c>
      <c r="P143">
        <v>-5.7213930348258701</v>
      </c>
      <c r="Q143">
        <f t="shared" si="36"/>
        <v>0.3303603929576856</v>
      </c>
      <c r="R143">
        <f t="shared" si="26"/>
        <v>9.675860406543467E-2</v>
      </c>
      <c r="S143">
        <f t="shared" si="27"/>
        <v>2.2069861287030976</v>
      </c>
      <c r="T143">
        <f t="shared" si="28"/>
        <v>-0.29339874347876499</v>
      </c>
      <c r="U143">
        <f t="shared" si="29"/>
        <v>-0.58592232063043714</v>
      </c>
      <c r="V143">
        <f t="shared" si="30"/>
        <v>-16.60794029925265</v>
      </c>
      <c r="W143">
        <f t="shared" si="31"/>
        <v>5.331385330372215</v>
      </c>
      <c r="X143">
        <f t="shared" si="32"/>
        <v>-0.27856126802542713</v>
      </c>
      <c r="Y143">
        <f t="shared" si="33"/>
        <v>6.1626204415731776</v>
      </c>
      <c r="Z143">
        <f t="shared" si="34"/>
        <v>-1.4924260763964972</v>
      </c>
      <c r="AA143">
        <f t="shared" si="35"/>
        <v>2.3888430079637044</v>
      </c>
      <c r="AB143">
        <f t="shared" si="37"/>
        <v>0.02</v>
      </c>
      <c r="AC143">
        <f t="shared" si="38"/>
        <v>-0.10699999999999998</v>
      </c>
    </row>
    <row r="144" spans="1:29" x14ac:dyDescent="0.2">
      <c r="A144" s="1">
        <v>41608</v>
      </c>
      <c r="B144">
        <v>92.373225152129805</v>
      </c>
      <c r="C144">
        <v>88.576300090000004</v>
      </c>
      <c r="D144">
        <v>70.599999999999994</v>
      </c>
      <c r="E144">
        <v>102.7</v>
      </c>
      <c r="F144">
        <v>4324.9854789999999</v>
      </c>
      <c r="G144">
        <v>5592.5743400000001</v>
      </c>
      <c r="H144">
        <v>164996</v>
      </c>
      <c r="I144">
        <v>163996</v>
      </c>
      <c r="J144">
        <v>6208.82</v>
      </c>
      <c r="K144">
        <v>43.554600000000001</v>
      </c>
      <c r="L144">
        <v>43967.924465609998</v>
      </c>
      <c r="M144">
        <v>0.06</v>
      </c>
      <c r="N144">
        <v>1.216</v>
      </c>
      <c r="O144" s="2">
        <v>0.13192612137203599</v>
      </c>
      <c r="P144">
        <v>-4.8275862068965498</v>
      </c>
      <c r="Q144">
        <f t="shared" si="36"/>
        <v>0.13183917532586756</v>
      </c>
      <c r="R144">
        <f t="shared" si="26"/>
        <v>0.48239360362030564</v>
      </c>
      <c r="S144">
        <f t="shared" si="27"/>
        <v>-3.7530464393409408</v>
      </c>
      <c r="T144">
        <f t="shared" si="28"/>
        <v>0.58593917638927384</v>
      </c>
      <c r="U144">
        <f t="shared" si="29"/>
        <v>-15.034901101640722</v>
      </c>
      <c r="V144">
        <f t="shared" si="30"/>
        <v>14.369254121121472</v>
      </c>
      <c r="W144">
        <f t="shared" si="31"/>
        <v>20.577811575121054</v>
      </c>
      <c r="X144">
        <f t="shared" si="32"/>
        <v>11.934984943381361</v>
      </c>
      <c r="Y144">
        <f t="shared" si="33"/>
        <v>-5.888117865292708</v>
      </c>
      <c r="Z144">
        <f t="shared" si="34"/>
        <v>0.85800028527722305</v>
      </c>
      <c r="AA144">
        <f t="shared" si="35"/>
        <v>1.9360528202033416</v>
      </c>
      <c r="AB144">
        <f t="shared" si="37"/>
        <v>1.9999999999999997E-2</v>
      </c>
      <c r="AC144">
        <f t="shared" si="38"/>
        <v>0.14500000000000002</v>
      </c>
    </row>
    <row r="145" spans="1:29" x14ac:dyDescent="0.2">
      <c r="A145" s="1">
        <v>41639</v>
      </c>
      <c r="B145">
        <v>92.738336713995906</v>
      </c>
      <c r="C145">
        <v>89.258312020000005</v>
      </c>
      <c r="D145">
        <v>71.5</v>
      </c>
      <c r="E145">
        <v>103.4</v>
      </c>
      <c r="F145">
        <v>4959.9267440000003</v>
      </c>
      <c r="G145">
        <v>5445.2601869999999</v>
      </c>
      <c r="H145">
        <v>150228</v>
      </c>
      <c r="I145">
        <v>202826</v>
      </c>
      <c r="J145">
        <v>5889.83</v>
      </c>
      <c r="K145">
        <v>44.104300000000002</v>
      </c>
      <c r="L145">
        <v>46048.298982319997</v>
      </c>
      <c r="M145">
        <v>7.0000000000000007E-2</v>
      </c>
      <c r="N145">
        <v>1.032</v>
      </c>
      <c r="O145" s="2">
        <v>0.39525691699604099</v>
      </c>
      <c r="P145">
        <v>-4.0906230333543103</v>
      </c>
      <c r="Q145">
        <f t="shared" si="36"/>
        <v>0.39447782910161039</v>
      </c>
      <c r="R145">
        <f t="shared" si="26"/>
        <v>0.76702197125426252</v>
      </c>
      <c r="S145">
        <f t="shared" si="27"/>
        <v>1.2667305200765635</v>
      </c>
      <c r="T145">
        <f t="shared" si="28"/>
        <v>0.67928451398161271</v>
      </c>
      <c r="U145">
        <f t="shared" si="29"/>
        <v>13.69821883513705</v>
      </c>
      <c r="V145">
        <f t="shared" si="30"/>
        <v>-2.6694167280379908</v>
      </c>
      <c r="W145">
        <f t="shared" si="31"/>
        <v>-9.3767091116960319</v>
      </c>
      <c r="X145">
        <f t="shared" si="32"/>
        <v>21.250643134480899</v>
      </c>
      <c r="Y145">
        <f t="shared" si="33"/>
        <v>-5.2743727018792406</v>
      </c>
      <c r="Z145">
        <f t="shared" si="34"/>
        <v>1.2541959930291287</v>
      </c>
      <c r="AA145">
        <f t="shared" si="35"/>
        <v>4.6230444866077445</v>
      </c>
      <c r="AB145">
        <f t="shared" si="37"/>
        <v>1.0000000000000009E-2</v>
      </c>
      <c r="AC145">
        <f t="shared" si="38"/>
        <v>-0.18399999999999994</v>
      </c>
    </row>
    <row r="146" spans="1:29" x14ac:dyDescent="0.2">
      <c r="A146" s="1">
        <v>41670</v>
      </c>
      <c r="B146">
        <v>92.312373225152101</v>
      </c>
      <c r="C146">
        <v>89.684569479999993</v>
      </c>
      <c r="D146">
        <v>69.5</v>
      </c>
      <c r="E146">
        <v>103.6</v>
      </c>
      <c r="F146">
        <v>4357.4691730000004</v>
      </c>
      <c r="G146">
        <v>6006.115393</v>
      </c>
      <c r="H146">
        <v>148822</v>
      </c>
      <c r="I146">
        <v>183040</v>
      </c>
      <c r="J146">
        <v>6041.19</v>
      </c>
      <c r="K146">
        <v>44.926600000000001</v>
      </c>
      <c r="L146">
        <v>45277.984946379998</v>
      </c>
      <c r="M146">
        <v>0.02</v>
      </c>
      <c r="N146">
        <v>1.0009999999999999</v>
      </c>
      <c r="O146">
        <v>-0.45931758530183298</v>
      </c>
      <c r="P146">
        <v>-1.0437051532941899</v>
      </c>
      <c r="Q146">
        <f t="shared" si="36"/>
        <v>-0.46037568980592897</v>
      </c>
      <c r="R146">
        <f t="shared" si="26"/>
        <v>0.47641824326559279</v>
      </c>
      <c r="S146">
        <f t="shared" si="27"/>
        <v>-2.8370697129215574</v>
      </c>
      <c r="T146">
        <f t="shared" si="28"/>
        <v>0.19323677510538603</v>
      </c>
      <c r="U146">
        <f t="shared" si="29"/>
        <v>-12.949954735522038</v>
      </c>
      <c r="V146">
        <f t="shared" si="30"/>
        <v>9.8032642514004795</v>
      </c>
      <c r="W146">
        <f t="shared" si="31"/>
        <v>-0.94031791328230485</v>
      </c>
      <c r="X146">
        <f t="shared" si="32"/>
        <v>-10.2643760436225</v>
      </c>
      <c r="Y146">
        <f t="shared" si="33"/>
        <v>2.5373877640219593</v>
      </c>
      <c r="Z146">
        <f t="shared" si="34"/>
        <v>1.8472763580806018</v>
      </c>
      <c r="AA146">
        <f t="shared" si="35"/>
        <v>-1.6869892687291499</v>
      </c>
      <c r="AB146">
        <f t="shared" si="37"/>
        <v>-0.05</v>
      </c>
      <c r="AC146">
        <f t="shared" si="38"/>
        <v>-3.1000000000000139E-2</v>
      </c>
    </row>
    <row r="147" spans="1:29" x14ac:dyDescent="0.2">
      <c r="A147" s="1">
        <v>41698</v>
      </c>
      <c r="B147">
        <v>92.799188640973597</v>
      </c>
      <c r="C147">
        <v>89.769820969999998</v>
      </c>
      <c r="D147">
        <v>68.5</v>
      </c>
      <c r="E147">
        <v>104.3</v>
      </c>
      <c r="F147">
        <v>4650.9491859999998</v>
      </c>
      <c r="G147">
        <v>4855.7941650000002</v>
      </c>
      <c r="H147">
        <v>120286</v>
      </c>
      <c r="I147">
        <v>130004</v>
      </c>
      <c r="J147">
        <v>6424.99</v>
      </c>
      <c r="K147">
        <v>44.895000000000003</v>
      </c>
      <c r="L147">
        <v>45038.529770189998</v>
      </c>
      <c r="M147">
        <v>0.05</v>
      </c>
      <c r="N147">
        <v>0.97199999999999998</v>
      </c>
      <c r="O147" s="2">
        <v>0.52735662491759905</v>
      </c>
      <c r="P147">
        <v>-0.84525357607282203</v>
      </c>
      <c r="Q147">
        <f t="shared" si="36"/>
        <v>0.52597096929795994</v>
      </c>
      <c r="R147">
        <f t="shared" si="26"/>
        <v>9.5011881514245528E-2</v>
      </c>
      <c r="S147">
        <f t="shared" si="27"/>
        <v>-1.4493007302566865</v>
      </c>
      <c r="T147">
        <f t="shared" si="28"/>
        <v>0.67340321813441195</v>
      </c>
      <c r="U147">
        <f t="shared" si="29"/>
        <v>6.5179900872179664</v>
      </c>
      <c r="V147">
        <f t="shared" si="30"/>
        <v>-21.260551723918468</v>
      </c>
      <c r="W147">
        <f t="shared" si="31"/>
        <v>-21.287872045159798</v>
      </c>
      <c r="X147">
        <f t="shared" si="32"/>
        <v>-34.213948897844446</v>
      </c>
      <c r="Y147">
        <f t="shared" si="33"/>
        <v>6.1594061951430756</v>
      </c>
      <c r="Z147">
        <f t="shared" si="34"/>
        <v>-7.0361697639988105E-2</v>
      </c>
      <c r="AA147">
        <f t="shared" si="35"/>
        <v>-0.5302590296223928</v>
      </c>
      <c r="AB147">
        <f t="shared" si="37"/>
        <v>3.0000000000000002E-2</v>
      </c>
      <c r="AC147">
        <f t="shared" si="38"/>
        <v>-2.8999999999999915E-2</v>
      </c>
    </row>
    <row r="148" spans="1:29" x14ac:dyDescent="0.2">
      <c r="A148" s="1">
        <v>41729</v>
      </c>
      <c r="B148">
        <v>92.920892494929006</v>
      </c>
      <c r="C148">
        <v>89.684569479999993</v>
      </c>
      <c r="D148">
        <v>68.5</v>
      </c>
      <c r="E148">
        <v>104.7</v>
      </c>
      <c r="F148">
        <v>5268.4119369999999</v>
      </c>
      <c r="G148">
        <v>5485.6783349999996</v>
      </c>
      <c r="H148">
        <v>129303</v>
      </c>
      <c r="I148">
        <v>169489</v>
      </c>
      <c r="J148">
        <v>6428.71</v>
      </c>
      <c r="K148">
        <v>44.791600000000003</v>
      </c>
      <c r="L148">
        <v>45594.450343869998</v>
      </c>
      <c r="M148">
        <v>0.05</v>
      </c>
      <c r="N148">
        <v>0.98299999999999998</v>
      </c>
      <c r="O148" s="2">
        <v>0.13114754098361101</v>
      </c>
      <c r="P148">
        <v>6.5530799475756102E-2</v>
      </c>
      <c r="Q148">
        <f t="shared" si="36"/>
        <v>0.13106161771208191</v>
      </c>
      <c r="R148">
        <f t="shared" si="26"/>
        <v>-9.5011881514238769E-2</v>
      </c>
      <c r="S148">
        <f t="shared" si="27"/>
        <v>0</v>
      </c>
      <c r="T148">
        <f t="shared" si="28"/>
        <v>0.38277558697644659</v>
      </c>
      <c r="U148">
        <f t="shared" si="29"/>
        <v>12.465765212358864</v>
      </c>
      <c r="V148">
        <f t="shared" si="30"/>
        <v>12.196809191016806</v>
      </c>
      <c r="W148">
        <f t="shared" si="31"/>
        <v>7.2286246883696945</v>
      </c>
      <c r="X148">
        <f t="shared" si="32"/>
        <v>26.522280874646871</v>
      </c>
      <c r="Y148">
        <f t="shared" si="33"/>
        <v>5.7882167840556727E-2</v>
      </c>
      <c r="Z148">
        <f t="shared" si="34"/>
        <v>-0.23058081321550372</v>
      </c>
      <c r="AA148">
        <f t="shared" si="35"/>
        <v>1.2267665587746546</v>
      </c>
      <c r="AB148">
        <f t="shared" si="37"/>
        <v>0</v>
      </c>
      <c r="AC148">
        <f t="shared" si="38"/>
        <v>1.100000000000001E-2</v>
      </c>
    </row>
    <row r="149" spans="1:29" x14ac:dyDescent="0.2">
      <c r="A149" s="1">
        <v>41759</v>
      </c>
      <c r="B149">
        <v>92.677484787018201</v>
      </c>
      <c r="C149">
        <v>89.940323960000001</v>
      </c>
      <c r="D149">
        <v>71.900000000000006</v>
      </c>
      <c r="E149">
        <v>104.8</v>
      </c>
      <c r="F149">
        <v>4563.4912720000002</v>
      </c>
      <c r="G149">
        <v>5365.8156289999997</v>
      </c>
      <c r="H149">
        <v>224449</v>
      </c>
      <c r="I149">
        <v>143597</v>
      </c>
      <c r="J149">
        <v>6707.91</v>
      </c>
      <c r="K149">
        <v>44.641599999999997</v>
      </c>
      <c r="L149">
        <v>47073.903124900004</v>
      </c>
      <c r="M149">
        <v>0.03</v>
      </c>
      <c r="N149">
        <v>0.95899999999999996</v>
      </c>
      <c r="O149">
        <v>-0.26195153896529</v>
      </c>
      <c r="P149">
        <v>0</v>
      </c>
      <c r="Q149">
        <f t="shared" si="36"/>
        <v>-0.26229523234712593</v>
      </c>
      <c r="R149">
        <f t="shared" si="26"/>
        <v>0.28476526602831448</v>
      </c>
      <c r="S149">
        <f t="shared" si="27"/>
        <v>4.8442519458821511</v>
      </c>
      <c r="T149">
        <f t="shared" si="28"/>
        <v>9.5465401045054202E-2</v>
      </c>
      <c r="U149">
        <f t="shared" si="29"/>
        <v>-14.36410165076199</v>
      </c>
      <c r="V149">
        <f t="shared" si="30"/>
        <v>-2.2092364701057163</v>
      </c>
      <c r="W149">
        <f t="shared" si="31"/>
        <v>55.149002251795075</v>
      </c>
      <c r="X149">
        <f t="shared" si="32"/>
        <v>-16.577726292846354</v>
      </c>
      <c r="Y149">
        <f t="shared" si="33"/>
        <v>4.2513531016969432</v>
      </c>
      <c r="Z149">
        <f t="shared" si="34"/>
        <v>-0.33544621159744181</v>
      </c>
      <c r="AA149">
        <f t="shared" si="35"/>
        <v>3.1932767556830721</v>
      </c>
      <c r="AB149">
        <f t="shared" si="37"/>
        <v>-2.0000000000000004E-2</v>
      </c>
      <c r="AC149">
        <f t="shared" si="38"/>
        <v>-2.4000000000000021E-2</v>
      </c>
    </row>
    <row r="150" spans="1:29" x14ac:dyDescent="0.2">
      <c r="A150" s="1">
        <v>41790</v>
      </c>
      <c r="B150">
        <v>91.703853955375195</v>
      </c>
      <c r="C150">
        <v>90.281329920000005</v>
      </c>
      <c r="D150">
        <v>77.3</v>
      </c>
      <c r="E150">
        <v>105.1</v>
      </c>
      <c r="F150">
        <v>5931.5913430000001</v>
      </c>
      <c r="G150">
        <v>5068.8770709999999</v>
      </c>
      <c r="H150">
        <v>172234</v>
      </c>
      <c r="I150">
        <v>160452</v>
      </c>
      <c r="J150">
        <v>6647.65</v>
      </c>
      <c r="K150">
        <v>43.9236</v>
      </c>
      <c r="L150">
        <v>47498.784899699996</v>
      </c>
      <c r="M150">
        <v>0.04</v>
      </c>
      <c r="N150">
        <v>0.97199999999999998</v>
      </c>
      <c r="O150">
        <v>-1.0505581089954099</v>
      </c>
      <c r="P150">
        <v>-1.0505581089954099</v>
      </c>
      <c r="Q150">
        <f t="shared" si="36"/>
        <v>-1.0561154268666455</v>
      </c>
      <c r="R150">
        <f t="shared" si="26"/>
        <v>0.37842996068274526</v>
      </c>
      <c r="S150">
        <f t="shared" si="27"/>
        <v>7.2417690866375244</v>
      </c>
      <c r="T150">
        <f t="shared" si="28"/>
        <v>0.28585059959636716</v>
      </c>
      <c r="U150">
        <f t="shared" si="29"/>
        <v>26.220457124054825</v>
      </c>
      <c r="V150">
        <f t="shared" si="30"/>
        <v>-5.6929084238408416</v>
      </c>
      <c r="W150">
        <f t="shared" si="31"/>
        <v>-26.479449254719583</v>
      </c>
      <c r="X150">
        <f t="shared" si="32"/>
        <v>11.098406738953512</v>
      </c>
      <c r="Y150">
        <f t="shared" si="33"/>
        <v>-0.90240183007461383</v>
      </c>
      <c r="Z150">
        <f t="shared" si="34"/>
        <v>-1.6214398669381089</v>
      </c>
      <c r="AA150">
        <f t="shared" si="35"/>
        <v>0.89853559689923623</v>
      </c>
      <c r="AB150">
        <f t="shared" si="37"/>
        <v>1.0000000000000002E-2</v>
      </c>
      <c r="AC150">
        <f t="shared" si="38"/>
        <v>1.3000000000000012E-2</v>
      </c>
    </row>
    <row r="151" spans="1:29" x14ac:dyDescent="0.2">
      <c r="A151" s="1">
        <v>41820</v>
      </c>
      <c r="B151">
        <v>91.156186612575993</v>
      </c>
      <c r="C151">
        <v>90.622335890000002</v>
      </c>
      <c r="D151">
        <v>76.599999999999994</v>
      </c>
      <c r="E151">
        <v>105.4</v>
      </c>
      <c r="F151">
        <v>5461.5429379999996</v>
      </c>
      <c r="G151">
        <v>4828.7051240000001</v>
      </c>
      <c r="H151">
        <v>138640</v>
      </c>
      <c r="I151">
        <v>201126</v>
      </c>
      <c r="J151">
        <v>6844.31</v>
      </c>
      <c r="K151">
        <v>43.817500000000003</v>
      </c>
      <c r="L151">
        <v>48131.542492859997</v>
      </c>
      <c r="M151">
        <v>0.04</v>
      </c>
      <c r="N151">
        <v>1.018</v>
      </c>
      <c r="O151">
        <v>-0.59721300597213101</v>
      </c>
      <c r="P151">
        <v>-2.2831050228310499</v>
      </c>
      <c r="Q151">
        <f t="shared" si="36"/>
        <v>-0.59900345493307861</v>
      </c>
      <c r="R151">
        <f t="shared" si="26"/>
        <v>0.37700327671125794</v>
      </c>
      <c r="S151">
        <f t="shared" si="27"/>
        <v>-0.90968788468306727</v>
      </c>
      <c r="T151">
        <f t="shared" si="28"/>
        <v>0.28503582243566161</v>
      </c>
      <c r="U151">
        <f t="shared" si="29"/>
        <v>-8.2561192433160144</v>
      </c>
      <c r="V151">
        <f t="shared" si="30"/>
        <v>-4.8540966609092857</v>
      </c>
      <c r="W151">
        <f t="shared" si="31"/>
        <v>-21.697337192820555</v>
      </c>
      <c r="X151">
        <f t="shared" si="32"/>
        <v>22.593674491197614</v>
      </c>
      <c r="Y151">
        <f t="shared" si="33"/>
        <v>2.9154241398720746</v>
      </c>
      <c r="Z151">
        <f t="shared" si="34"/>
        <v>-0.24184800900674508</v>
      </c>
      <c r="AA151">
        <f t="shared" si="35"/>
        <v>1.3233601617006612</v>
      </c>
      <c r="AB151">
        <f t="shared" si="37"/>
        <v>0</v>
      </c>
      <c r="AC151">
        <f t="shared" si="38"/>
        <v>4.6000000000000041E-2</v>
      </c>
    </row>
    <row r="152" spans="1:29" x14ac:dyDescent="0.2">
      <c r="A152" s="1">
        <v>41851</v>
      </c>
      <c r="B152">
        <v>90.851926977687597</v>
      </c>
      <c r="C152">
        <v>91.133844839999995</v>
      </c>
      <c r="D152">
        <v>74.2</v>
      </c>
      <c r="E152">
        <v>105.2</v>
      </c>
      <c r="F152">
        <v>5425.4797779999999</v>
      </c>
      <c r="G152">
        <v>5564.4275440000001</v>
      </c>
      <c r="H152">
        <v>166730</v>
      </c>
      <c r="I152">
        <v>168492</v>
      </c>
      <c r="J152">
        <v>6864.82</v>
      </c>
      <c r="K152">
        <v>43.466500000000003</v>
      </c>
      <c r="L152">
        <v>48779.8899494</v>
      </c>
      <c r="M152">
        <v>0.03</v>
      </c>
      <c r="N152">
        <v>1.0029999999999999</v>
      </c>
      <c r="O152">
        <v>-0.33377837116153902</v>
      </c>
      <c r="P152">
        <v>-1.45214521452144</v>
      </c>
      <c r="Q152">
        <f t="shared" si="36"/>
        <v>-0.33433665379739969</v>
      </c>
      <c r="R152">
        <f t="shared" si="26"/>
        <v>0.5628532667716668</v>
      </c>
      <c r="S152">
        <f t="shared" si="27"/>
        <v>-3.1832926573210782</v>
      </c>
      <c r="T152">
        <f t="shared" si="28"/>
        <v>-0.18993358036525163</v>
      </c>
      <c r="U152">
        <f t="shared" si="29"/>
        <v>-0.66250053561480038</v>
      </c>
      <c r="V152">
        <f t="shared" si="30"/>
        <v>14.181577077785418</v>
      </c>
      <c r="W152">
        <f t="shared" si="31"/>
        <v>18.449509216501685</v>
      </c>
      <c r="X152">
        <f t="shared" si="32"/>
        <v>-17.704330641199949</v>
      </c>
      <c r="Y152">
        <f t="shared" si="33"/>
        <v>0.29921687666966418</v>
      </c>
      <c r="Z152">
        <f t="shared" si="34"/>
        <v>-0.80427545039304726</v>
      </c>
      <c r="AA152">
        <f t="shared" si="35"/>
        <v>1.3380405453914925</v>
      </c>
      <c r="AB152">
        <f t="shared" si="37"/>
        <v>-1.0000000000000002E-2</v>
      </c>
      <c r="AC152">
        <f t="shared" si="38"/>
        <v>-1.5000000000000124E-2</v>
      </c>
    </row>
    <row r="153" spans="1:29" x14ac:dyDescent="0.2">
      <c r="A153" s="1">
        <v>41882</v>
      </c>
      <c r="B153">
        <v>91.947261663286</v>
      </c>
      <c r="C153">
        <v>91.304347829999998</v>
      </c>
      <c r="D153">
        <v>73.7</v>
      </c>
      <c r="E153">
        <v>105.5</v>
      </c>
      <c r="F153">
        <v>5471.2283639999996</v>
      </c>
      <c r="G153">
        <v>5844.5089680000001</v>
      </c>
      <c r="H153">
        <v>169980</v>
      </c>
      <c r="I153">
        <v>140115</v>
      </c>
      <c r="J153">
        <v>7050.89</v>
      </c>
      <c r="K153">
        <v>43.767299999999999</v>
      </c>
      <c r="L153">
        <v>48589.985774599998</v>
      </c>
      <c r="M153">
        <v>0.03</v>
      </c>
      <c r="N153">
        <v>1.034</v>
      </c>
      <c r="O153" s="2">
        <v>1.2056262558606701</v>
      </c>
      <c r="P153">
        <v>-1.17724002616089</v>
      </c>
      <c r="Q153">
        <f t="shared" si="36"/>
        <v>1.1984164733549492</v>
      </c>
      <c r="R153">
        <f t="shared" si="26"/>
        <v>0.18691594906309369</v>
      </c>
      <c r="S153">
        <f t="shared" si="27"/>
        <v>-0.67613509780437953</v>
      </c>
      <c r="T153">
        <f t="shared" si="28"/>
        <v>0.28476526125116974</v>
      </c>
      <c r="U153">
        <f t="shared" si="29"/>
        <v>0.83968211686752048</v>
      </c>
      <c r="V153">
        <f t="shared" si="30"/>
        <v>4.9108470268029949</v>
      </c>
      <c r="W153">
        <f t="shared" si="31"/>
        <v>1.9305045498112756</v>
      </c>
      <c r="X153">
        <f t="shared" si="32"/>
        <v>-18.442475692758382</v>
      </c>
      <c r="Y153">
        <f t="shared" si="33"/>
        <v>2.6744031071302321</v>
      </c>
      <c r="Z153">
        <f t="shared" si="34"/>
        <v>0.68964367525149772</v>
      </c>
      <c r="AA153">
        <f t="shared" si="35"/>
        <v>-0.390068107154324</v>
      </c>
      <c r="AB153">
        <f t="shared" si="37"/>
        <v>0</v>
      </c>
      <c r="AC153">
        <f t="shared" si="38"/>
        <v>3.1000000000000139E-2</v>
      </c>
    </row>
    <row r="154" spans="1:29" x14ac:dyDescent="0.2">
      <c r="A154" s="1">
        <v>41912</v>
      </c>
      <c r="B154">
        <v>92.677484787018201</v>
      </c>
      <c r="C154">
        <v>91.474850810000007</v>
      </c>
      <c r="D154">
        <v>75.099999999999994</v>
      </c>
      <c r="E154">
        <v>105.9</v>
      </c>
      <c r="F154">
        <v>5846.0630460000002</v>
      </c>
      <c r="G154">
        <v>5782.7355909999997</v>
      </c>
      <c r="H154">
        <v>154566</v>
      </c>
      <c r="I154">
        <v>159764</v>
      </c>
      <c r="J154">
        <v>7283.07</v>
      </c>
      <c r="K154">
        <v>44.075099999999999</v>
      </c>
      <c r="L154">
        <v>47461.088106650001</v>
      </c>
      <c r="M154">
        <v>0.02</v>
      </c>
      <c r="N154">
        <v>1.1259999999999999</v>
      </c>
      <c r="O154" s="2">
        <v>0.79417604235606398</v>
      </c>
      <c r="P154">
        <v>0.79417604235606398</v>
      </c>
      <c r="Q154">
        <f t="shared" si="36"/>
        <v>0.79103906224217857</v>
      </c>
      <c r="R154">
        <f t="shared" si="26"/>
        <v>0.18656721413041749</v>
      </c>
      <c r="S154">
        <f t="shared" si="27"/>
        <v>1.8817759574798056</v>
      </c>
      <c r="T154">
        <f t="shared" si="28"/>
        <v>0.37842996912396271</v>
      </c>
      <c r="U154">
        <f t="shared" si="29"/>
        <v>6.6265296073141924</v>
      </c>
      <c r="V154">
        <f t="shared" si="30"/>
        <v>-1.06257261384921</v>
      </c>
      <c r="W154">
        <f t="shared" si="31"/>
        <v>-9.5059593483967841</v>
      </c>
      <c r="X154">
        <f t="shared" si="32"/>
        <v>13.123421235753819</v>
      </c>
      <c r="Y154">
        <f t="shared" si="33"/>
        <v>3.2398626622264741</v>
      </c>
      <c r="Z154">
        <f t="shared" si="34"/>
        <v>0.70080339274795</v>
      </c>
      <c r="AA154">
        <f t="shared" si="35"/>
        <v>-2.3507278093810666</v>
      </c>
      <c r="AB154">
        <f t="shared" si="37"/>
        <v>-9.9999999999999985E-3</v>
      </c>
      <c r="AC154">
        <f t="shared" si="38"/>
        <v>9.199999999999986E-2</v>
      </c>
    </row>
    <row r="155" spans="1:29" x14ac:dyDescent="0.2">
      <c r="A155" s="1">
        <v>41943</v>
      </c>
      <c r="B155">
        <v>91.643002028397504</v>
      </c>
      <c r="C155">
        <v>91.389599320000002</v>
      </c>
      <c r="D155">
        <v>80.099999999999994</v>
      </c>
      <c r="E155">
        <v>106.3</v>
      </c>
      <c r="F155">
        <v>5148.2123970000002</v>
      </c>
      <c r="G155">
        <v>5589.3238549999996</v>
      </c>
      <c r="H155">
        <v>152263</v>
      </c>
      <c r="I155">
        <v>154793</v>
      </c>
      <c r="J155">
        <v>7215.73</v>
      </c>
      <c r="K155">
        <v>44.797899999999998</v>
      </c>
      <c r="L155">
        <v>47908.637597180001</v>
      </c>
      <c r="M155">
        <v>0.01</v>
      </c>
      <c r="N155">
        <v>1.1160000000000001</v>
      </c>
      <c r="O155">
        <v>-1.11621799080761</v>
      </c>
      <c r="P155">
        <v>-0.65963060686015096</v>
      </c>
      <c r="Q155">
        <f t="shared" si="36"/>
        <v>-1.1224944535322978</v>
      </c>
      <c r="R155">
        <f t="shared" si="26"/>
        <v>-9.3240097914781592E-2</v>
      </c>
      <c r="S155">
        <f t="shared" si="27"/>
        <v>6.4455295304224434</v>
      </c>
      <c r="T155">
        <f t="shared" si="28"/>
        <v>0.37700327405413886</v>
      </c>
      <c r="U155">
        <f t="shared" si="29"/>
        <v>-12.711890405762055</v>
      </c>
      <c r="V155">
        <f t="shared" si="30"/>
        <v>-3.401853268061704</v>
      </c>
      <c r="W155">
        <f t="shared" si="31"/>
        <v>-1.501190076318327</v>
      </c>
      <c r="X155">
        <f t="shared" si="32"/>
        <v>-3.1608985855514748</v>
      </c>
      <c r="Y155">
        <f t="shared" si="33"/>
        <v>-0.92891114045989875</v>
      </c>
      <c r="Z155">
        <f t="shared" si="34"/>
        <v>1.6266266181014364</v>
      </c>
      <c r="AA155">
        <f t="shared" si="35"/>
        <v>0.93856362197685139</v>
      </c>
      <c r="AB155">
        <f t="shared" si="37"/>
        <v>-0.01</v>
      </c>
      <c r="AC155">
        <f t="shared" si="38"/>
        <v>-9.9999999999997868E-3</v>
      </c>
    </row>
    <row r="156" spans="1:29" x14ac:dyDescent="0.2">
      <c r="A156" s="1">
        <v>41973</v>
      </c>
      <c r="B156">
        <v>90.547667342799201</v>
      </c>
      <c r="C156">
        <v>91.219096329999999</v>
      </c>
      <c r="D156">
        <v>77</v>
      </c>
      <c r="E156">
        <v>106.5</v>
      </c>
      <c r="F156">
        <v>5174.8982020000003</v>
      </c>
      <c r="G156">
        <v>5536.2484119999999</v>
      </c>
      <c r="H156">
        <v>158221</v>
      </c>
      <c r="I156">
        <v>151397</v>
      </c>
      <c r="J156">
        <v>7294.38</v>
      </c>
      <c r="K156">
        <v>44.9514</v>
      </c>
      <c r="L156">
        <v>49012.021588900003</v>
      </c>
      <c r="M156">
        <v>0.02</v>
      </c>
      <c r="N156">
        <v>1.2929999999999999</v>
      </c>
      <c r="O156">
        <v>-1.1952191235059699</v>
      </c>
      <c r="P156">
        <v>-1.97628458498023</v>
      </c>
      <c r="Q156">
        <f t="shared" si="36"/>
        <v>-1.2024192966800915</v>
      </c>
      <c r="R156">
        <f t="shared" si="26"/>
        <v>-0.18674142426982754</v>
      </c>
      <c r="S156">
        <f t="shared" si="27"/>
        <v>-3.9470432220629674</v>
      </c>
      <c r="T156">
        <f t="shared" si="28"/>
        <v>0.18796998015776939</v>
      </c>
      <c r="U156">
        <f t="shared" si="29"/>
        <v>0.51701208055489167</v>
      </c>
      <c r="V156">
        <f t="shared" si="30"/>
        <v>-0.95412342610127854</v>
      </c>
      <c r="W156">
        <f t="shared" si="31"/>
        <v>3.8383501063435603</v>
      </c>
      <c r="X156">
        <f t="shared" si="32"/>
        <v>-2.2183214747362867</v>
      </c>
      <c r="Y156">
        <f t="shared" si="33"/>
        <v>1.0840823435079221</v>
      </c>
      <c r="Z156">
        <f t="shared" si="34"/>
        <v>0.34206428278030043</v>
      </c>
      <c r="AA156">
        <f t="shared" si="35"/>
        <v>2.2769792789242498</v>
      </c>
      <c r="AB156">
        <f t="shared" si="37"/>
        <v>0.01</v>
      </c>
      <c r="AC156">
        <f t="shared" si="38"/>
        <v>0.17699999999999982</v>
      </c>
    </row>
    <row r="157" spans="1:29" x14ac:dyDescent="0.2">
      <c r="A157" s="1">
        <v>42004</v>
      </c>
      <c r="B157">
        <v>91.460446247464503</v>
      </c>
      <c r="C157">
        <v>90.96334186</v>
      </c>
      <c r="D157">
        <v>74.400000000000006</v>
      </c>
      <c r="E157">
        <v>106.3</v>
      </c>
      <c r="F157">
        <v>4802.2815570000002</v>
      </c>
      <c r="G157">
        <v>5469.754844</v>
      </c>
      <c r="H157">
        <v>173033</v>
      </c>
      <c r="I157">
        <v>219350</v>
      </c>
      <c r="J157">
        <v>7230.57</v>
      </c>
      <c r="K157">
        <v>44.687800000000003</v>
      </c>
      <c r="L157">
        <v>51916.534138390001</v>
      </c>
      <c r="M157">
        <v>0.04</v>
      </c>
      <c r="N157">
        <v>1.4950000000000001</v>
      </c>
      <c r="O157" s="2">
        <v>1.00806451612902</v>
      </c>
      <c r="P157">
        <v>-1.37795275590551</v>
      </c>
      <c r="Q157">
        <f t="shared" si="36"/>
        <v>1.0030174359937252</v>
      </c>
      <c r="R157">
        <f t="shared" si="26"/>
        <v>-0.28076760916283383</v>
      </c>
      <c r="S157">
        <f t="shared" si="27"/>
        <v>-3.4349480014637566</v>
      </c>
      <c r="T157">
        <f t="shared" si="28"/>
        <v>-0.18796998015776306</v>
      </c>
      <c r="U157">
        <f t="shared" si="29"/>
        <v>-7.4728538488843848</v>
      </c>
      <c r="V157">
        <f t="shared" si="30"/>
        <v>-1.2083292270487058</v>
      </c>
      <c r="W157">
        <f t="shared" si="31"/>
        <v>8.948953786535716</v>
      </c>
      <c r="X157">
        <f t="shared" si="32"/>
        <v>37.076310186464063</v>
      </c>
      <c r="Y157">
        <f t="shared" si="33"/>
        <v>-0.87863174065509564</v>
      </c>
      <c r="Z157">
        <f t="shared" si="34"/>
        <v>-0.5881372431669587</v>
      </c>
      <c r="AA157">
        <f t="shared" si="35"/>
        <v>5.7571709715579562</v>
      </c>
      <c r="AB157">
        <f t="shared" si="37"/>
        <v>0.02</v>
      </c>
      <c r="AC157">
        <f t="shared" si="38"/>
        <v>0.20200000000000018</v>
      </c>
    </row>
    <row r="158" spans="1:29" x14ac:dyDescent="0.2">
      <c r="A158" s="1">
        <v>42035</v>
      </c>
      <c r="B158">
        <v>88.904665314401598</v>
      </c>
      <c r="C158">
        <v>91.048593350000004</v>
      </c>
      <c r="D158">
        <v>71.3</v>
      </c>
      <c r="E158">
        <v>106.3</v>
      </c>
      <c r="F158">
        <v>4356.7840409999999</v>
      </c>
      <c r="G158">
        <v>5662.7276359999996</v>
      </c>
      <c r="H158">
        <v>166651.67000000001</v>
      </c>
      <c r="I158">
        <v>173124</v>
      </c>
      <c r="J158">
        <v>7689.91</v>
      </c>
      <c r="K158">
        <v>44.604399999999998</v>
      </c>
      <c r="L158">
        <v>51253.299179369998</v>
      </c>
      <c r="M158">
        <v>0.02</v>
      </c>
      <c r="N158">
        <v>1.2789999999999999</v>
      </c>
      <c r="O158">
        <v>-2.7944111776447098</v>
      </c>
      <c r="P158">
        <v>-3.6914963744231999</v>
      </c>
      <c r="Q158">
        <f t="shared" si="36"/>
        <v>-2.8341978002275314</v>
      </c>
      <c r="R158">
        <f t="shared" si="26"/>
        <v>9.3676819749097209E-2</v>
      </c>
      <c r="S158">
        <f t="shared" si="27"/>
        <v>-4.2559614418796006</v>
      </c>
      <c r="T158">
        <f t="shared" si="28"/>
        <v>0</v>
      </c>
      <c r="U158">
        <f t="shared" si="29"/>
        <v>-9.7356949436898024</v>
      </c>
      <c r="V158">
        <f t="shared" si="30"/>
        <v>3.4671893471245796</v>
      </c>
      <c r="W158">
        <f t="shared" si="31"/>
        <v>-3.7576502046482925</v>
      </c>
      <c r="X158">
        <f t="shared" si="32"/>
        <v>-23.666052686058745</v>
      </c>
      <c r="Y158">
        <f t="shared" si="33"/>
        <v>6.1591208700631128</v>
      </c>
      <c r="Z158">
        <f t="shared" si="34"/>
        <v>-0.18680248499229418</v>
      </c>
      <c r="AA158">
        <f t="shared" si="35"/>
        <v>-1.2857326106410292</v>
      </c>
      <c r="AB158">
        <f t="shared" si="37"/>
        <v>-0.02</v>
      </c>
      <c r="AC158">
        <f t="shared" si="38"/>
        <v>-0.21600000000000019</v>
      </c>
    </row>
    <row r="159" spans="1:29" x14ac:dyDescent="0.2">
      <c r="A159" s="1">
        <v>42063</v>
      </c>
      <c r="B159">
        <v>87.565922920892504</v>
      </c>
      <c r="C159">
        <v>91.133844839999995</v>
      </c>
      <c r="D159">
        <v>68.900000000000006</v>
      </c>
      <c r="E159">
        <v>107.1</v>
      </c>
      <c r="F159">
        <v>4513.4002469999996</v>
      </c>
      <c r="G159">
        <v>5734.539788</v>
      </c>
      <c r="H159">
        <v>132771.57999999999</v>
      </c>
      <c r="I159">
        <v>142445</v>
      </c>
      <c r="J159">
        <v>7730.57</v>
      </c>
      <c r="K159">
        <v>44.221400000000003</v>
      </c>
      <c r="L159">
        <v>51666.012636239997</v>
      </c>
      <c r="M159">
        <v>0.02</v>
      </c>
      <c r="N159">
        <v>1.2769999999999999</v>
      </c>
      <c r="O159">
        <v>-1.50581793292265</v>
      </c>
      <c r="P159">
        <v>-5.6393442622950802</v>
      </c>
      <c r="Q159">
        <f t="shared" si="36"/>
        <v>-1.5172704863331252</v>
      </c>
      <c r="R159">
        <f t="shared" si="26"/>
        <v>9.3589148404836286E-2</v>
      </c>
      <c r="S159">
        <f t="shared" si="27"/>
        <v>-3.4240149400637252</v>
      </c>
      <c r="T159">
        <f t="shared" si="28"/>
        <v>0.74976921058007151</v>
      </c>
      <c r="U159">
        <f t="shared" si="29"/>
        <v>3.5316624560497591</v>
      </c>
      <c r="V159">
        <f t="shared" si="30"/>
        <v>1.2601810534706261</v>
      </c>
      <c r="W159">
        <f t="shared" si="31"/>
        <v>-22.727561758995883</v>
      </c>
      <c r="X159">
        <f t="shared" si="32"/>
        <v>-19.5052140458839</v>
      </c>
      <c r="Y159">
        <f t="shared" si="33"/>
        <v>0.52735186232207487</v>
      </c>
      <c r="Z159">
        <f t="shared" si="34"/>
        <v>-0.86236740579398663</v>
      </c>
      <c r="AA159">
        <f t="shared" si="35"/>
        <v>0.80201793394008081</v>
      </c>
      <c r="AB159">
        <f t="shared" si="37"/>
        <v>0</v>
      </c>
      <c r="AC159">
        <f t="shared" si="38"/>
        <v>-2.0000000000000018E-3</v>
      </c>
    </row>
    <row r="160" spans="1:29" x14ac:dyDescent="0.2">
      <c r="A160" s="1">
        <v>42094</v>
      </c>
      <c r="B160">
        <v>87.8701825557809</v>
      </c>
      <c r="C160">
        <v>91.048593350000004</v>
      </c>
      <c r="D160">
        <v>77.3</v>
      </c>
      <c r="E160">
        <v>107.2</v>
      </c>
      <c r="F160">
        <v>5434.1703189999998</v>
      </c>
      <c r="G160">
        <v>5691.3488459999999</v>
      </c>
      <c r="H160">
        <v>171105.83</v>
      </c>
      <c r="I160">
        <v>188478</v>
      </c>
      <c r="J160">
        <v>7940.49</v>
      </c>
      <c r="K160">
        <v>44.445700000000002</v>
      </c>
      <c r="L160">
        <v>51613.654254530004</v>
      </c>
      <c r="M160">
        <v>0.03</v>
      </c>
      <c r="N160">
        <v>1.456</v>
      </c>
      <c r="O160" s="2">
        <v>0.34746351633078698</v>
      </c>
      <c r="P160">
        <v>-5.4354944335297999</v>
      </c>
      <c r="Q160">
        <f t="shared" si="36"/>
        <v>0.34686125654033528</v>
      </c>
      <c r="R160">
        <f t="shared" si="26"/>
        <v>-9.3589148404824893E-2</v>
      </c>
      <c r="S160">
        <f t="shared" si="27"/>
        <v>11.503777757376318</v>
      </c>
      <c r="T160">
        <f t="shared" si="28"/>
        <v>9.3327118299852588E-2</v>
      </c>
      <c r="U160">
        <f t="shared" si="29"/>
        <v>18.56560492407915</v>
      </c>
      <c r="V160">
        <f t="shared" si="30"/>
        <v>-0.75602255728933088</v>
      </c>
      <c r="W160">
        <f t="shared" si="31"/>
        <v>25.365204584311961</v>
      </c>
      <c r="X160">
        <f t="shared" si="32"/>
        <v>28.002532890869304</v>
      </c>
      <c r="Y160">
        <f t="shared" si="33"/>
        <v>2.6792387639999165</v>
      </c>
      <c r="Z160">
        <f t="shared" si="34"/>
        <v>0.50593845621960298</v>
      </c>
      <c r="AA160">
        <f t="shared" si="35"/>
        <v>-0.10139146992183003</v>
      </c>
      <c r="AB160">
        <f t="shared" si="37"/>
        <v>9.9999999999999985E-3</v>
      </c>
      <c r="AC160">
        <f t="shared" si="38"/>
        <v>0.17900000000000005</v>
      </c>
    </row>
    <row r="161" spans="1:29" x14ac:dyDescent="0.2">
      <c r="A161" s="1">
        <v>42124</v>
      </c>
      <c r="B161">
        <v>85.192697768762699</v>
      </c>
      <c r="C161">
        <v>91.219096329999999</v>
      </c>
      <c r="D161">
        <v>72.8</v>
      </c>
      <c r="E161">
        <v>107.4</v>
      </c>
      <c r="F161">
        <v>4434.0311259999999</v>
      </c>
      <c r="G161">
        <v>5052.9857620000002</v>
      </c>
      <c r="H161">
        <v>209104.31</v>
      </c>
      <c r="I161">
        <v>156505</v>
      </c>
      <c r="J161">
        <v>7714.82</v>
      </c>
      <c r="K161">
        <v>44.413600000000002</v>
      </c>
      <c r="L161">
        <v>52975.805881059998</v>
      </c>
      <c r="M161">
        <v>0.01</v>
      </c>
      <c r="N161">
        <v>1.4550000000000001</v>
      </c>
      <c r="O161">
        <v>-3.0470914127423701</v>
      </c>
      <c r="P161">
        <v>-8.0761654629021606</v>
      </c>
      <c r="Q161">
        <f t="shared" si="36"/>
        <v>-3.094480384942091</v>
      </c>
      <c r="R161">
        <f t="shared" si="26"/>
        <v>0.1870907894137265</v>
      </c>
      <c r="S161">
        <f t="shared" si="27"/>
        <v>-5.9978000390735993</v>
      </c>
      <c r="T161">
        <f t="shared" si="28"/>
        <v>0.18639334380627326</v>
      </c>
      <c r="U161">
        <f t="shared" si="29"/>
        <v>-20.33977227062697</v>
      </c>
      <c r="V161">
        <f t="shared" si="30"/>
        <v>-11.896796700728235</v>
      </c>
      <c r="W161">
        <f t="shared" si="31"/>
        <v>20.055096441065842</v>
      </c>
      <c r="X161">
        <f t="shared" si="32"/>
        <v>-18.58933308498473</v>
      </c>
      <c r="Y161">
        <f t="shared" si="33"/>
        <v>-2.8831831831324033</v>
      </c>
      <c r="Z161">
        <f t="shared" si="34"/>
        <v>-7.2249053045271336E-2</v>
      </c>
      <c r="AA161">
        <f t="shared" si="35"/>
        <v>2.6049061698992833</v>
      </c>
      <c r="AB161">
        <f t="shared" si="37"/>
        <v>-1.9999999999999997E-2</v>
      </c>
      <c r="AC161">
        <f t="shared" si="38"/>
        <v>-9.9999999999988987E-4</v>
      </c>
    </row>
    <row r="162" spans="1:29" x14ac:dyDescent="0.2">
      <c r="A162" s="1">
        <v>42155</v>
      </c>
      <c r="B162">
        <v>85.314401622717995</v>
      </c>
      <c r="C162">
        <v>91.133844839999995</v>
      </c>
      <c r="D162">
        <v>75.5</v>
      </c>
      <c r="E162">
        <v>107.6</v>
      </c>
      <c r="F162">
        <v>4899.3722539999999</v>
      </c>
      <c r="G162">
        <v>4834.4174869999997</v>
      </c>
      <c r="H162">
        <v>242525.11</v>
      </c>
      <c r="I162">
        <v>175188</v>
      </c>
      <c r="J162">
        <v>7580.46</v>
      </c>
      <c r="K162">
        <v>44.610599999999998</v>
      </c>
      <c r="L162">
        <v>52860.257216079997</v>
      </c>
      <c r="M162">
        <v>0.01</v>
      </c>
      <c r="N162">
        <v>1.5129999999999999</v>
      </c>
      <c r="O162" s="2">
        <v>0.14285714285713599</v>
      </c>
      <c r="P162">
        <v>-6.96748506967484</v>
      </c>
      <c r="Q162">
        <f t="shared" si="36"/>
        <v>0.14275519911844367</v>
      </c>
      <c r="R162">
        <f t="shared" si="26"/>
        <v>-9.3501641008893521E-2</v>
      </c>
      <c r="S162">
        <f t="shared" si="27"/>
        <v>3.6416701052338825</v>
      </c>
      <c r="T162">
        <f t="shared" si="28"/>
        <v>0.18604656529196709</v>
      </c>
      <c r="U162">
        <f t="shared" si="29"/>
        <v>9.9797954464919219</v>
      </c>
      <c r="V162">
        <f t="shared" si="30"/>
        <v>-4.4218665313370753</v>
      </c>
      <c r="W162">
        <f t="shared" si="31"/>
        <v>14.827203303927433</v>
      </c>
      <c r="X162">
        <f t="shared" si="32"/>
        <v>11.27717246542008</v>
      </c>
      <c r="Y162">
        <f t="shared" si="33"/>
        <v>-1.7569270541118898</v>
      </c>
      <c r="Z162">
        <f t="shared" si="34"/>
        <v>0.44257701065638871</v>
      </c>
      <c r="AA162">
        <f t="shared" si="35"/>
        <v>-0.21835413659304759</v>
      </c>
      <c r="AB162">
        <f t="shared" si="37"/>
        <v>0</v>
      </c>
      <c r="AC162">
        <f t="shared" si="38"/>
        <v>5.7999999999999829E-2</v>
      </c>
    </row>
    <row r="163" spans="1:29" x14ac:dyDescent="0.2">
      <c r="A163" s="1">
        <v>42185</v>
      </c>
      <c r="B163">
        <v>85.436105476673404</v>
      </c>
      <c r="C163">
        <v>91.133844839999995</v>
      </c>
      <c r="D163">
        <v>74.099999999999994</v>
      </c>
      <c r="E163">
        <v>107.2</v>
      </c>
      <c r="F163">
        <v>5363.9589809999998</v>
      </c>
      <c r="G163">
        <v>5940.763097</v>
      </c>
      <c r="H163">
        <v>163576.09</v>
      </c>
      <c r="I163">
        <v>236249</v>
      </c>
      <c r="J163">
        <v>7564.5</v>
      </c>
      <c r="K163">
        <v>44.9831</v>
      </c>
      <c r="L163">
        <v>52636.890982270001</v>
      </c>
      <c r="M163">
        <v>0.01</v>
      </c>
      <c r="N163">
        <v>1.484</v>
      </c>
      <c r="O163" s="2">
        <v>0.14265335235378501</v>
      </c>
      <c r="P163">
        <v>-6.2750333778370999</v>
      </c>
      <c r="Q163">
        <f t="shared" si="36"/>
        <v>0.14255169912213903</v>
      </c>
      <c r="R163">
        <f t="shared" si="26"/>
        <v>0</v>
      </c>
      <c r="S163">
        <f t="shared" si="27"/>
        <v>-1.8717123952937866</v>
      </c>
      <c r="T163">
        <f t="shared" si="28"/>
        <v>-0.37243990909823282</v>
      </c>
      <c r="U163">
        <f t="shared" si="29"/>
        <v>9.0595232817430933</v>
      </c>
      <c r="V163">
        <f t="shared" si="30"/>
        <v>20.607694937133676</v>
      </c>
      <c r="W163">
        <f t="shared" si="31"/>
        <v>-39.38269870651672</v>
      </c>
      <c r="X163">
        <f t="shared" si="32"/>
        <v>29.902665055481776</v>
      </c>
      <c r="Y163">
        <f t="shared" si="33"/>
        <v>-0.2107632626037016</v>
      </c>
      <c r="Z163">
        <f t="shared" si="34"/>
        <v>0.83153647272651632</v>
      </c>
      <c r="AA163">
        <f t="shared" si="35"/>
        <v>-0.42345517655682785</v>
      </c>
      <c r="AB163">
        <f t="shared" si="37"/>
        <v>0</v>
      </c>
      <c r="AC163">
        <f t="shared" si="38"/>
        <v>-2.8999999999999915E-2</v>
      </c>
    </row>
    <row r="164" spans="1:29" x14ac:dyDescent="0.2">
      <c r="A164" s="1">
        <v>42216</v>
      </c>
      <c r="B164">
        <v>84.705882352941103</v>
      </c>
      <c r="C164">
        <v>91.304347829999998</v>
      </c>
      <c r="D164">
        <v>72.5</v>
      </c>
      <c r="E164">
        <v>107.1</v>
      </c>
      <c r="F164">
        <v>5370.5246370000004</v>
      </c>
      <c r="G164">
        <v>6845.663192</v>
      </c>
      <c r="H164">
        <v>178474.06</v>
      </c>
      <c r="I164">
        <v>210672</v>
      </c>
      <c r="J164">
        <v>7550</v>
      </c>
      <c r="K164">
        <v>45.264899999999997</v>
      </c>
      <c r="L164">
        <v>52361.450771809999</v>
      </c>
      <c r="M164">
        <v>0.08</v>
      </c>
      <c r="N164">
        <v>1.431</v>
      </c>
      <c r="O164">
        <v>-0.85470085470086399</v>
      </c>
      <c r="P164">
        <v>-6.7649028801071696</v>
      </c>
      <c r="Q164">
        <f t="shared" si="36"/>
        <v>-0.85837436913921128</v>
      </c>
      <c r="R164">
        <f t="shared" si="26"/>
        <v>0.18691594906309369</v>
      </c>
      <c r="S164">
        <f t="shared" si="27"/>
        <v>-2.1828970441411979</v>
      </c>
      <c r="T164">
        <f t="shared" si="28"/>
        <v>-9.3327118299865688E-2</v>
      </c>
      <c r="U164">
        <f t="shared" si="29"/>
        <v>0.12232832155503123</v>
      </c>
      <c r="V164">
        <f t="shared" si="30"/>
        <v>14.17777484862904</v>
      </c>
      <c r="W164">
        <f t="shared" si="31"/>
        <v>8.7165004186993098</v>
      </c>
      <c r="X164">
        <f t="shared" si="32"/>
        <v>-11.458391194667307</v>
      </c>
      <c r="Y164">
        <f t="shared" si="33"/>
        <v>-0.19186879418193287</v>
      </c>
      <c r="Z164">
        <f t="shared" si="34"/>
        <v>0.62450340364322754</v>
      </c>
      <c r="AA164">
        <f t="shared" si="35"/>
        <v>-0.5246575092231367</v>
      </c>
      <c r="AB164">
        <f t="shared" si="37"/>
        <v>7.0000000000000007E-2</v>
      </c>
      <c r="AC164">
        <f t="shared" si="38"/>
        <v>-5.2999999999999936E-2</v>
      </c>
    </row>
    <row r="165" spans="1:29" x14ac:dyDescent="0.2">
      <c r="A165" s="1">
        <v>42247</v>
      </c>
      <c r="B165">
        <v>84.705882352941103</v>
      </c>
      <c r="C165">
        <v>91.304347829999998</v>
      </c>
      <c r="D165">
        <v>71.900000000000006</v>
      </c>
      <c r="E165">
        <v>106.9</v>
      </c>
      <c r="F165">
        <v>5127.9258589999999</v>
      </c>
      <c r="G165">
        <v>6175.9838579999996</v>
      </c>
      <c r="H165">
        <v>176656.04</v>
      </c>
      <c r="I165">
        <v>161616</v>
      </c>
      <c r="J165">
        <v>7098.81</v>
      </c>
      <c r="K165">
        <v>46.142000000000003</v>
      </c>
      <c r="L165">
        <v>51584.799723279997</v>
      </c>
      <c r="M165">
        <v>0.08</v>
      </c>
      <c r="N165">
        <v>1.417</v>
      </c>
      <c r="O165">
        <v>0</v>
      </c>
      <c r="P165">
        <v>-7.8755790866975497</v>
      </c>
      <c r="Q165">
        <f t="shared" si="36"/>
        <v>0</v>
      </c>
      <c r="R165">
        <f t="shared" si="26"/>
        <v>0</v>
      </c>
      <c r="S165">
        <f t="shared" si="27"/>
        <v>-0.83102971336280373</v>
      </c>
      <c r="T165">
        <f t="shared" si="28"/>
        <v>-0.18691594227034247</v>
      </c>
      <c r="U165">
        <f t="shared" si="29"/>
        <v>-4.6224340073493613</v>
      </c>
      <c r="V165">
        <f t="shared" si="30"/>
        <v>-10.294714206476154</v>
      </c>
      <c r="W165">
        <f t="shared" si="31"/>
        <v>-1.0238703405037439</v>
      </c>
      <c r="X165">
        <f t="shared" si="32"/>
        <v>-26.507927052715946</v>
      </c>
      <c r="Y165">
        <f t="shared" si="33"/>
        <v>-6.1620398894860253</v>
      </c>
      <c r="Z165">
        <f t="shared" si="34"/>
        <v>1.919170043086927</v>
      </c>
      <c r="AA165">
        <f t="shared" si="35"/>
        <v>-1.4943598209243136</v>
      </c>
      <c r="AB165">
        <f t="shared" si="37"/>
        <v>0</v>
      </c>
      <c r="AC165">
        <f t="shared" si="38"/>
        <v>-1.4000000000000012E-2</v>
      </c>
    </row>
    <row r="166" spans="1:29" x14ac:dyDescent="0.2">
      <c r="A166" s="1">
        <v>42277</v>
      </c>
      <c r="B166">
        <v>84.705882352941103</v>
      </c>
      <c r="C166">
        <v>91.133844839999995</v>
      </c>
      <c r="D166">
        <v>75.2</v>
      </c>
      <c r="E166">
        <v>106.8</v>
      </c>
      <c r="F166">
        <v>4959.5140179999999</v>
      </c>
      <c r="G166">
        <v>6255.0146580000001</v>
      </c>
      <c r="H166">
        <v>164112.10999999999</v>
      </c>
      <c r="I166">
        <v>186252</v>
      </c>
      <c r="J166">
        <v>6893.98</v>
      </c>
      <c r="K166">
        <v>46.750399999999999</v>
      </c>
      <c r="L166">
        <v>52279.98913745</v>
      </c>
      <c r="M166">
        <v>-0.01</v>
      </c>
      <c r="N166">
        <v>1.474</v>
      </c>
      <c r="O166">
        <v>0</v>
      </c>
      <c r="P166">
        <v>-8.6014445173998695</v>
      </c>
      <c r="Q166">
        <f t="shared" si="36"/>
        <v>0</v>
      </c>
      <c r="R166">
        <f t="shared" si="26"/>
        <v>-0.18691594906309275</v>
      </c>
      <c r="S166">
        <f t="shared" si="27"/>
        <v>4.4874966228793065</v>
      </c>
      <c r="T166">
        <f t="shared" si="28"/>
        <v>-9.3589150490520259E-2</v>
      </c>
      <c r="U166">
        <f t="shared" si="29"/>
        <v>-3.3393505746003931</v>
      </c>
      <c r="V166">
        <f t="shared" si="30"/>
        <v>1.2715288268148257</v>
      </c>
      <c r="W166">
        <f t="shared" si="31"/>
        <v>-7.3654773286731379</v>
      </c>
      <c r="X166">
        <f t="shared" si="32"/>
        <v>14.187744437021943</v>
      </c>
      <c r="Y166">
        <f t="shared" si="33"/>
        <v>-2.9278597349004802</v>
      </c>
      <c r="Z166">
        <f t="shared" si="34"/>
        <v>1.3099213704408201</v>
      </c>
      <c r="AA166">
        <f t="shared" si="35"/>
        <v>1.3386630895205969</v>
      </c>
      <c r="AB166">
        <f t="shared" si="37"/>
        <v>-0.09</v>
      </c>
      <c r="AC166">
        <f t="shared" si="38"/>
        <v>5.699999999999994E-2</v>
      </c>
    </row>
    <row r="167" spans="1:29" x14ac:dyDescent="0.2">
      <c r="A167" s="1">
        <v>42308</v>
      </c>
      <c r="B167">
        <v>84.645030425963498</v>
      </c>
      <c r="C167">
        <v>91.219096329999999</v>
      </c>
      <c r="D167">
        <v>78.5</v>
      </c>
      <c r="E167">
        <v>106.8</v>
      </c>
      <c r="F167">
        <v>4590.2563170000003</v>
      </c>
      <c r="G167">
        <v>6534.108792</v>
      </c>
      <c r="H167">
        <v>163015.13</v>
      </c>
      <c r="I167">
        <v>190037</v>
      </c>
      <c r="J167">
        <v>7134.26</v>
      </c>
      <c r="K167">
        <v>46.360900000000001</v>
      </c>
      <c r="L167">
        <v>52680.791564380001</v>
      </c>
      <c r="M167">
        <v>0.08</v>
      </c>
      <c r="N167">
        <v>1.45</v>
      </c>
      <c r="O167">
        <v>-7.1839080459761104E-2</v>
      </c>
      <c r="P167">
        <v>-7.6361221779548396</v>
      </c>
      <c r="Q167">
        <f t="shared" si="36"/>
        <v>-7.1864897092102517E-2</v>
      </c>
      <c r="R167">
        <f t="shared" si="26"/>
        <v>9.3501641008901043E-2</v>
      </c>
      <c r="S167">
        <f t="shared" si="27"/>
        <v>4.2947393832568643</v>
      </c>
      <c r="T167">
        <f t="shared" si="28"/>
        <v>0</v>
      </c>
      <c r="U167">
        <f t="shared" si="29"/>
        <v>-7.7371890697542636</v>
      </c>
      <c r="V167">
        <f t="shared" si="30"/>
        <v>4.3652475856603052</v>
      </c>
      <c r="W167">
        <f t="shared" si="31"/>
        <v>-0.67067732538410596</v>
      </c>
      <c r="X167">
        <f t="shared" si="32"/>
        <v>2.0118194586786147</v>
      </c>
      <c r="Y167">
        <f t="shared" si="33"/>
        <v>3.4259964447559743</v>
      </c>
      <c r="Z167">
        <f t="shared" si="34"/>
        <v>-0.83663802773927243</v>
      </c>
      <c r="AA167">
        <f t="shared" si="35"/>
        <v>0.76372216819817695</v>
      </c>
      <c r="AB167">
        <f t="shared" si="37"/>
        <v>0.09</v>
      </c>
      <c r="AC167">
        <f t="shared" si="38"/>
        <v>-2.4000000000000021E-2</v>
      </c>
    </row>
    <row r="168" spans="1:29" x14ac:dyDescent="0.2">
      <c r="A168" s="1">
        <v>42338</v>
      </c>
      <c r="B168">
        <v>84.888438133874203</v>
      </c>
      <c r="C168">
        <v>91.474850810000007</v>
      </c>
      <c r="D168">
        <v>77.8</v>
      </c>
      <c r="E168">
        <v>106.9</v>
      </c>
      <c r="F168">
        <v>5117.7844059999998</v>
      </c>
      <c r="G168">
        <v>6094.6563749999996</v>
      </c>
      <c r="H168">
        <v>177451</v>
      </c>
      <c r="I168">
        <v>171422</v>
      </c>
      <c r="J168">
        <v>6927.07</v>
      </c>
      <c r="K168">
        <v>47.006700000000002</v>
      </c>
      <c r="L168">
        <v>53765.63347619</v>
      </c>
      <c r="M168">
        <v>0.22</v>
      </c>
      <c r="N168">
        <v>1.593</v>
      </c>
      <c r="O168" s="2">
        <v>0.287562904385333</v>
      </c>
      <c r="P168">
        <v>-6.2499999999999902</v>
      </c>
      <c r="Q168">
        <f t="shared" si="36"/>
        <v>0.2871502332022498</v>
      </c>
      <c r="R168">
        <f t="shared" si="26"/>
        <v>0.27998152218461447</v>
      </c>
      <c r="S168">
        <f t="shared" si="27"/>
        <v>-0.89571936040168287</v>
      </c>
      <c r="T168">
        <f t="shared" si="28"/>
        <v>9.3589150490524547E-2</v>
      </c>
      <c r="U168">
        <f t="shared" si="29"/>
        <v>10.878574719527862</v>
      </c>
      <c r="V168">
        <f t="shared" si="30"/>
        <v>-6.9623580012917117</v>
      </c>
      <c r="W168">
        <f t="shared" si="31"/>
        <v>8.4851495881928898</v>
      </c>
      <c r="X168">
        <f t="shared" si="32"/>
        <v>-10.30904373911298</v>
      </c>
      <c r="Y168">
        <f t="shared" si="33"/>
        <v>-2.9471607090492764</v>
      </c>
      <c r="Z168">
        <f t="shared" si="34"/>
        <v>1.3833713171375062</v>
      </c>
      <c r="AA168">
        <f t="shared" si="35"/>
        <v>2.0383577426940294</v>
      </c>
      <c r="AB168">
        <f t="shared" si="37"/>
        <v>0.14000000000000001</v>
      </c>
      <c r="AC168">
        <f t="shared" si="38"/>
        <v>0.14300000000000002</v>
      </c>
    </row>
    <row r="169" spans="1:29" x14ac:dyDescent="0.2">
      <c r="A169" s="1">
        <v>42369</v>
      </c>
      <c r="B169">
        <v>84.705882352941103</v>
      </c>
      <c r="C169">
        <v>91.645353790000001</v>
      </c>
      <c r="D169">
        <v>75.3</v>
      </c>
      <c r="E169">
        <v>107.1</v>
      </c>
      <c r="F169">
        <v>4659.5131499999998</v>
      </c>
      <c r="G169">
        <v>6245.0189950000004</v>
      </c>
      <c r="H169">
        <v>163513.13</v>
      </c>
      <c r="I169">
        <v>238657</v>
      </c>
      <c r="J169">
        <v>6952.08</v>
      </c>
      <c r="K169">
        <v>47.2303</v>
      </c>
      <c r="L169">
        <v>56557.886201610003</v>
      </c>
      <c r="M169">
        <v>0.16</v>
      </c>
      <c r="N169">
        <v>1.7470000000000001</v>
      </c>
      <c r="O169">
        <v>-0.21505376344086799</v>
      </c>
      <c r="P169">
        <v>-7.3852295409181599</v>
      </c>
      <c r="Q169">
        <f t="shared" si="36"/>
        <v>-0.21528533611015346</v>
      </c>
      <c r="R169">
        <f t="shared" si="26"/>
        <v>0.18621978895740965</v>
      </c>
      <c r="S169">
        <f t="shared" si="27"/>
        <v>-3.2661296378498066</v>
      </c>
      <c r="T169">
        <f t="shared" si="28"/>
        <v>0.18691594227033501</v>
      </c>
      <c r="U169">
        <f t="shared" si="29"/>
        <v>-9.3810643761446162</v>
      </c>
      <c r="V169">
        <f t="shared" si="30"/>
        <v>2.4371802041131452</v>
      </c>
      <c r="W169">
        <f t="shared" si="31"/>
        <v>-8.1801221543510838</v>
      </c>
      <c r="X169">
        <f t="shared" si="32"/>
        <v>33.089902202627556</v>
      </c>
      <c r="Y169">
        <f t="shared" si="33"/>
        <v>0.36039710026068894</v>
      </c>
      <c r="Z169">
        <f t="shared" si="34"/>
        <v>0.47454910410271534</v>
      </c>
      <c r="AA169">
        <f t="shared" si="35"/>
        <v>5.0630168128325526</v>
      </c>
      <c r="AB169">
        <f t="shared" si="37"/>
        <v>-0.06</v>
      </c>
      <c r="AC169">
        <f t="shared" si="38"/>
        <v>0.15400000000000014</v>
      </c>
    </row>
    <row r="170" spans="1:29" x14ac:dyDescent="0.2">
      <c r="A170" s="1">
        <v>42400</v>
      </c>
      <c r="B170">
        <v>82.454361054766693</v>
      </c>
      <c r="C170">
        <v>91.73060529</v>
      </c>
      <c r="D170">
        <v>75.400000000000006</v>
      </c>
      <c r="E170">
        <v>107</v>
      </c>
      <c r="F170">
        <v>4255.4947229999998</v>
      </c>
      <c r="G170">
        <v>6825.2067360000001</v>
      </c>
      <c r="H170">
        <v>182225.54</v>
      </c>
      <c r="I170">
        <v>185700.45300000001</v>
      </c>
      <c r="J170">
        <v>6687.62</v>
      </c>
      <c r="K170">
        <v>47.511099999999999</v>
      </c>
      <c r="L170">
        <v>55098.082044859999</v>
      </c>
      <c r="M170">
        <v>0.32</v>
      </c>
      <c r="N170">
        <v>1.554</v>
      </c>
      <c r="O170">
        <v>-2.6580459770114899</v>
      </c>
      <c r="P170">
        <v>-7.2553045859000598</v>
      </c>
      <c r="Q170">
        <f t="shared" si="36"/>
        <v>-2.6940107580563315</v>
      </c>
      <c r="R170">
        <f t="shared" si="26"/>
        <v>9.2980024829386443E-2</v>
      </c>
      <c r="S170">
        <f t="shared" si="27"/>
        <v>0.13271402080627157</v>
      </c>
      <c r="T170">
        <f t="shared" si="28"/>
        <v>-9.3414299179690755E-2</v>
      </c>
      <c r="U170">
        <f t="shared" si="29"/>
        <v>-9.0699944539001383</v>
      </c>
      <c r="V170">
        <f t="shared" si="30"/>
        <v>8.8838446395049822</v>
      </c>
      <c r="W170">
        <f t="shared" si="31"/>
        <v>10.835185770998004</v>
      </c>
      <c r="X170">
        <f t="shared" si="32"/>
        <v>-25.089246690487794</v>
      </c>
      <c r="Y170">
        <f t="shared" si="33"/>
        <v>-3.8782839390373982</v>
      </c>
      <c r="Z170">
        <f t="shared" si="34"/>
        <v>0.59277321683850137</v>
      </c>
      <c r="AA170">
        <f t="shared" si="35"/>
        <v>-2.6149741287047035</v>
      </c>
      <c r="AB170">
        <f t="shared" si="37"/>
        <v>0.16</v>
      </c>
      <c r="AC170">
        <f t="shared" si="38"/>
        <v>-0.19300000000000006</v>
      </c>
    </row>
    <row r="171" spans="1:29" x14ac:dyDescent="0.2">
      <c r="A171" s="1">
        <v>42429</v>
      </c>
      <c r="B171">
        <v>82.697768762677498</v>
      </c>
      <c r="C171">
        <v>91.560102299999997</v>
      </c>
      <c r="D171">
        <v>78.2</v>
      </c>
      <c r="E171">
        <v>107.3</v>
      </c>
      <c r="F171">
        <v>4361.917684</v>
      </c>
      <c r="G171">
        <v>5651.642734</v>
      </c>
      <c r="H171">
        <v>138951.57999999999</v>
      </c>
      <c r="I171">
        <v>173578</v>
      </c>
      <c r="J171">
        <v>6671.04</v>
      </c>
      <c r="K171">
        <v>47.636099999999999</v>
      </c>
      <c r="L171">
        <v>55781.194850189997</v>
      </c>
      <c r="M171">
        <v>0.33</v>
      </c>
      <c r="N171">
        <v>1.579</v>
      </c>
      <c r="O171" s="2">
        <v>0.29520295202951902</v>
      </c>
      <c r="P171">
        <v>-5.5594162612925597</v>
      </c>
      <c r="Q171">
        <f t="shared" si="36"/>
        <v>0.29476808373430613</v>
      </c>
      <c r="R171">
        <f t="shared" si="26"/>
        <v>-0.18604657205211345</v>
      </c>
      <c r="S171">
        <f t="shared" si="27"/>
        <v>3.6462372537355012</v>
      </c>
      <c r="T171">
        <f t="shared" si="28"/>
        <v>0.27998151747466477</v>
      </c>
      <c r="U171">
        <f t="shared" si="29"/>
        <v>2.4700772549544867</v>
      </c>
      <c r="V171">
        <f t="shared" si="30"/>
        <v>-18.867637932180124</v>
      </c>
      <c r="W171">
        <f t="shared" si="31"/>
        <v>-27.111962351272201</v>
      </c>
      <c r="X171">
        <f t="shared" si="32"/>
        <v>-6.7507841689136328</v>
      </c>
      <c r="Y171">
        <f t="shared" si="33"/>
        <v>-0.24822861744331348</v>
      </c>
      <c r="Z171">
        <f t="shared" si="34"/>
        <v>0.2627509204992276</v>
      </c>
      <c r="AA171">
        <f t="shared" si="35"/>
        <v>1.2321895803652692</v>
      </c>
      <c r="AB171">
        <f t="shared" si="37"/>
        <v>1.0000000000000009E-2</v>
      </c>
      <c r="AC171">
        <f t="shared" si="38"/>
        <v>2.4999999999999911E-2</v>
      </c>
    </row>
    <row r="172" spans="1:29" x14ac:dyDescent="0.2">
      <c r="A172" s="1">
        <v>42460</v>
      </c>
      <c r="B172">
        <v>81.784989858012096</v>
      </c>
      <c r="C172">
        <v>91.560102299999997</v>
      </c>
      <c r="D172">
        <v>83.2</v>
      </c>
      <c r="E172">
        <v>107.3</v>
      </c>
      <c r="F172">
        <v>4730.0096009999997</v>
      </c>
      <c r="G172">
        <v>6678.2849239999996</v>
      </c>
      <c r="H172">
        <v>157800.45000000001</v>
      </c>
      <c r="I172">
        <v>232188</v>
      </c>
      <c r="J172">
        <v>7262.3</v>
      </c>
      <c r="K172">
        <v>46.723999999999997</v>
      </c>
      <c r="L172">
        <v>58828.014347739998</v>
      </c>
      <c r="M172">
        <v>0.21</v>
      </c>
      <c r="N172">
        <v>1.615</v>
      </c>
      <c r="O172">
        <v>-1.1037527593818901</v>
      </c>
      <c r="P172">
        <v>-6.9252077562326804</v>
      </c>
      <c r="Q172">
        <f t="shared" si="36"/>
        <v>-1.1098893068049924</v>
      </c>
      <c r="R172">
        <f t="shared" si="26"/>
        <v>0</v>
      </c>
      <c r="S172">
        <f t="shared" si="27"/>
        <v>6.1977700275897609</v>
      </c>
      <c r="T172">
        <f t="shared" si="28"/>
        <v>0</v>
      </c>
      <c r="U172">
        <f t="shared" si="29"/>
        <v>8.1015435870150299</v>
      </c>
      <c r="V172">
        <f t="shared" si="30"/>
        <v>16.691495439950646</v>
      </c>
      <c r="W172">
        <f t="shared" si="31"/>
        <v>12.720573299810972</v>
      </c>
      <c r="X172">
        <f t="shared" si="32"/>
        <v>29.092032225682672</v>
      </c>
      <c r="Y172">
        <f t="shared" si="33"/>
        <v>8.4920813260562849</v>
      </c>
      <c r="Z172">
        <f t="shared" si="34"/>
        <v>-1.9332925862762325</v>
      </c>
      <c r="AA172">
        <f t="shared" si="35"/>
        <v>5.3181373197624762</v>
      </c>
      <c r="AB172">
        <f t="shared" si="37"/>
        <v>-0.12000000000000002</v>
      </c>
      <c r="AC172">
        <f t="shared" si="38"/>
        <v>3.6000000000000032E-2</v>
      </c>
    </row>
    <row r="173" spans="1:29" x14ac:dyDescent="0.2">
      <c r="A173" s="1">
        <v>42490</v>
      </c>
      <c r="B173">
        <v>82.150101419878297</v>
      </c>
      <c r="C173">
        <v>91.815856780000004</v>
      </c>
      <c r="D173">
        <v>80.5</v>
      </c>
      <c r="E173">
        <v>107.8</v>
      </c>
      <c r="F173">
        <v>4284.8746510000001</v>
      </c>
      <c r="G173">
        <v>6864.5868110000001</v>
      </c>
      <c r="H173">
        <v>246628.03</v>
      </c>
      <c r="I173">
        <v>191611</v>
      </c>
      <c r="J173">
        <v>7159.29</v>
      </c>
      <c r="K173">
        <v>46.284500000000001</v>
      </c>
      <c r="L173">
        <v>59251.994416130001</v>
      </c>
      <c r="M173">
        <v>0.22</v>
      </c>
      <c r="N173">
        <v>1.514</v>
      </c>
      <c r="O173" s="2">
        <v>0.44642857142856401</v>
      </c>
      <c r="P173">
        <v>-3.5714285714285801</v>
      </c>
      <c r="Q173">
        <f t="shared" si="36"/>
        <v>0.44543503493812586</v>
      </c>
      <c r="R173">
        <f t="shared" si="26"/>
        <v>0.27894021344296971</v>
      </c>
      <c r="S173">
        <f t="shared" si="27"/>
        <v>-3.2990163402645276</v>
      </c>
      <c r="T173">
        <f t="shared" si="28"/>
        <v>0.46490088382440137</v>
      </c>
      <c r="U173">
        <f t="shared" si="29"/>
        <v>-9.8835933665136029</v>
      </c>
      <c r="V173">
        <f t="shared" si="30"/>
        <v>2.7514642965581038</v>
      </c>
      <c r="W173">
        <f t="shared" si="31"/>
        <v>44.654999000767219</v>
      </c>
      <c r="X173">
        <f t="shared" si="32"/>
        <v>-19.208011317950945</v>
      </c>
      <c r="Y173">
        <f t="shared" si="33"/>
        <v>-1.4285769027994304</v>
      </c>
      <c r="Z173">
        <f t="shared" si="34"/>
        <v>-0.94508194684670754</v>
      </c>
      <c r="AA173">
        <f t="shared" si="35"/>
        <v>0.71812645493691007</v>
      </c>
      <c r="AB173">
        <f t="shared" si="37"/>
        <v>1.0000000000000009E-2</v>
      </c>
      <c r="AC173">
        <f t="shared" si="38"/>
        <v>-0.10099999999999998</v>
      </c>
    </row>
    <row r="174" spans="1:29" x14ac:dyDescent="0.2">
      <c r="A174" s="1">
        <v>42521</v>
      </c>
      <c r="B174">
        <v>82.271805273833607</v>
      </c>
      <c r="C174">
        <v>91.986359759999999</v>
      </c>
      <c r="D174">
        <v>81.5</v>
      </c>
      <c r="E174">
        <v>107.7</v>
      </c>
      <c r="F174">
        <v>4828.3527329999997</v>
      </c>
      <c r="G174">
        <v>7067.857994</v>
      </c>
      <c r="H174">
        <v>199099.07</v>
      </c>
      <c r="I174">
        <v>217415</v>
      </c>
      <c r="J174">
        <v>7401.6</v>
      </c>
      <c r="K174">
        <v>46.802300000000002</v>
      </c>
      <c r="L174">
        <v>59243.079896880001</v>
      </c>
      <c r="M174">
        <v>0.34</v>
      </c>
      <c r="N174">
        <v>1.496</v>
      </c>
      <c r="O174" s="2">
        <v>0.148148148148153</v>
      </c>
      <c r="P174">
        <v>-3.5663338088445</v>
      </c>
      <c r="Q174">
        <f t="shared" si="36"/>
        <v>0.1480385170433538</v>
      </c>
      <c r="R174">
        <f t="shared" si="26"/>
        <v>0.18552880603608268</v>
      </c>
      <c r="S174">
        <f t="shared" si="27"/>
        <v>1.2345835822299362</v>
      </c>
      <c r="T174">
        <f t="shared" si="28"/>
        <v>-9.2807431255385986E-2</v>
      </c>
      <c r="U174">
        <f t="shared" si="29"/>
        <v>11.941406177932787</v>
      </c>
      <c r="V174">
        <f t="shared" si="30"/>
        <v>2.9181613213207909</v>
      </c>
      <c r="W174">
        <f t="shared" si="31"/>
        <v>-21.407871008675343</v>
      </c>
      <c r="X174">
        <f t="shared" si="32"/>
        <v>12.634069438473682</v>
      </c>
      <c r="Y174">
        <f t="shared" si="33"/>
        <v>3.3285379010479335</v>
      </c>
      <c r="Z174">
        <f t="shared" si="34"/>
        <v>1.1125215190173174</v>
      </c>
      <c r="AA174">
        <f t="shared" si="35"/>
        <v>-1.5046227564308279E-2</v>
      </c>
      <c r="AB174">
        <f t="shared" si="37"/>
        <v>0.12000000000000002</v>
      </c>
      <c r="AC174">
        <f t="shared" si="38"/>
        <v>-1.8000000000000016E-2</v>
      </c>
    </row>
    <row r="175" spans="1:29" x14ac:dyDescent="0.2">
      <c r="A175" s="1">
        <v>42551</v>
      </c>
      <c r="B175">
        <v>82.271805273833607</v>
      </c>
      <c r="C175">
        <v>92.327365729999997</v>
      </c>
      <c r="D175">
        <v>82.2</v>
      </c>
      <c r="E175">
        <v>107.9</v>
      </c>
      <c r="F175">
        <v>4872.9030119999998</v>
      </c>
      <c r="G175">
        <v>7243.655041</v>
      </c>
      <c r="H175">
        <v>176248.15</v>
      </c>
      <c r="I175">
        <v>220779</v>
      </c>
      <c r="J175">
        <v>7796.25</v>
      </c>
      <c r="K175">
        <v>46.464500000000001</v>
      </c>
      <c r="L175">
        <v>59502.524082229997</v>
      </c>
      <c r="M175">
        <v>0.26</v>
      </c>
      <c r="N175">
        <v>1.4550000000000001</v>
      </c>
      <c r="O175">
        <v>0</v>
      </c>
      <c r="P175">
        <v>-3.7037037037037002</v>
      </c>
      <c r="Q175">
        <f t="shared" si="36"/>
        <v>0</v>
      </c>
      <c r="R175">
        <f t="shared" si="26"/>
        <v>0.37002817688544709</v>
      </c>
      <c r="S175">
        <f t="shared" si="27"/>
        <v>0.85522818153171576</v>
      </c>
      <c r="T175">
        <f t="shared" si="28"/>
        <v>0.18552881017461409</v>
      </c>
      <c r="U175">
        <f t="shared" si="29"/>
        <v>0.91845000978509428</v>
      </c>
      <c r="V175">
        <f t="shared" si="30"/>
        <v>2.4568456068187667</v>
      </c>
      <c r="W175">
        <f t="shared" si="31"/>
        <v>-12.190959485626419</v>
      </c>
      <c r="X175">
        <f t="shared" si="32"/>
        <v>1.535423163715</v>
      </c>
      <c r="Y175">
        <f t="shared" si="33"/>
        <v>5.1946655803212201</v>
      </c>
      <c r="Z175">
        <f t="shared" si="34"/>
        <v>-0.72437668514404663</v>
      </c>
      <c r="AA175">
        <f t="shared" si="35"/>
        <v>0.4369754997091948</v>
      </c>
      <c r="AB175">
        <f t="shared" si="37"/>
        <v>-8.0000000000000016E-2</v>
      </c>
      <c r="AC175">
        <f t="shared" si="38"/>
        <v>-4.0999999999999925E-2</v>
      </c>
    </row>
    <row r="176" spans="1:29" x14ac:dyDescent="0.2">
      <c r="A176" s="1">
        <v>42582</v>
      </c>
      <c r="B176">
        <v>81.359026369168305</v>
      </c>
      <c r="C176">
        <v>92.497868710000006</v>
      </c>
      <c r="D176">
        <v>82.5</v>
      </c>
      <c r="E176">
        <v>107.8</v>
      </c>
      <c r="F176">
        <v>4786.9120730000004</v>
      </c>
      <c r="G176">
        <v>7159.420916</v>
      </c>
      <c r="H176">
        <v>170249.33</v>
      </c>
      <c r="I176">
        <v>220917</v>
      </c>
      <c r="J176">
        <v>7963.11</v>
      </c>
      <c r="K176">
        <v>47.058100000000003</v>
      </c>
      <c r="L176">
        <v>59434.114747250002</v>
      </c>
      <c r="M176">
        <v>0.27</v>
      </c>
      <c r="N176">
        <v>1.385</v>
      </c>
      <c r="O176">
        <v>-1.1094674556213</v>
      </c>
      <c r="P176">
        <v>-3.9511494252873498</v>
      </c>
      <c r="Q176">
        <f t="shared" si="36"/>
        <v>-1.1156679500966027</v>
      </c>
      <c r="R176">
        <f t="shared" si="26"/>
        <v>0.18450189324415411</v>
      </c>
      <c r="S176">
        <f t="shared" si="27"/>
        <v>0.36429912785010088</v>
      </c>
      <c r="T176">
        <f t="shared" si="28"/>
        <v>-9.2721378919225009E-2</v>
      </c>
      <c r="U176">
        <f t="shared" si="29"/>
        <v>-1.7804318153186858</v>
      </c>
      <c r="V176">
        <f t="shared" si="30"/>
        <v>-1.169681887780408</v>
      </c>
      <c r="W176">
        <f t="shared" si="31"/>
        <v>-3.4628935550644702</v>
      </c>
      <c r="X176">
        <f t="shared" si="32"/>
        <v>6.2486418029697129E-2</v>
      </c>
      <c r="Y176">
        <f t="shared" si="33"/>
        <v>2.1176778210939227</v>
      </c>
      <c r="Z176">
        <f t="shared" si="34"/>
        <v>1.2694428329799452</v>
      </c>
      <c r="AA176">
        <f t="shared" si="35"/>
        <v>-0.11503493489828877</v>
      </c>
      <c r="AB176">
        <f t="shared" si="37"/>
        <v>1.0000000000000009E-2</v>
      </c>
      <c r="AC176">
        <f t="shared" si="38"/>
        <v>-7.0000000000000062E-2</v>
      </c>
    </row>
    <row r="177" spans="1:29" x14ac:dyDescent="0.2">
      <c r="A177" s="1">
        <v>42613</v>
      </c>
      <c r="B177">
        <v>81.054766734279895</v>
      </c>
      <c r="C177">
        <v>92.497868710000006</v>
      </c>
      <c r="D177">
        <v>82.7</v>
      </c>
      <c r="E177">
        <v>107.8</v>
      </c>
      <c r="F177">
        <v>5036.0749919999998</v>
      </c>
      <c r="G177">
        <v>7165.8874880000003</v>
      </c>
      <c r="H177">
        <v>209552.84</v>
      </c>
      <c r="I177">
        <v>176962</v>
      </c>
      <c r="J177">
        <v>7787.37</v>
      </c>
      <c r="K177">
        <v>46.680900000000001</v>
      </c>
      <c r="L177">
        <v>60176.039403440001</v>
      </c>
      <c r="M177">
        <v>0.33</v>
      </c>
      <c r="N177">
        <v>1.4450000000000001</v>
      </c>
      <c r="O177">
        <v>-0.373971578160049</v>
      </c>
      <c r="P177">
        <v>-4.3103448275861904</v>
      </c>
      <c r="Q177">
        <f t="shared" si="36"/>
        <v>-0.37467260016083936</v>
      </c>
      <c r="R177">
        <f t="shared" si="26"/>
        <v>0</v>
      </c>
      <c r="S177">
        <f t="shared" si="27"/>
        <v>0.24213086890103452</v>
      </c>
      <c r="T177">
        <f t="shared" si="28"/>
        <v>0</v>
      </c>
      <c r="U177">
        <f t="shared" si="29"/>
        <v>5.0741464884344634</v>
      </c>
      <c r="V177">
        <f t="shared" si="30"/>
        <v>9.0281790197641335E-2</v>
      </c>
      <c r="W177">
        <f t="shared" si="31"/>
        <v>20.771191749784514</v>
      </c>
      <c r="X177">
        <f t="shared" si="32"/>
        <v>-22.185204510521316</v>
      </c>
      <c r="Y177">
        <f t="shared" si="33"/>
        <v>-2.2316436513840401</v>
      </c>
      <c r="Z177">
        <f t="shared" si="34"/>
        <v>-0.8047921055364714</v>
      </c>
      <c r="AA177">
        <f t="shared" si="35"/>
        <v>1.2405872678093459</v>
      </c>
      <c r="AB177">
        <f t="shared" si="37"/>
        <v>0.06</v>
      </c>
      <c r="AC177">
        <f t="shared" si="38"/>
        <v>6.0000000000000053E-2</v>
      </c>
    </row>
    <row r="178" spans="1:29" x14ac:dyDescent="0.2">
      <c r="A178" s="1">
        <v>42643</v>
      </c>
      <c r="B178">
        <v>80.993914807302204</v>
      </c>
      <c r="C178">
        <v>92.668371699999994</v>
      </c>
      <c r="D178">
        <v>85</v>
      </c>
      <c r="E178">
        <v>108.2</v>
      </c>
      <c r="F178">
        <v>5361.5743700000003</v>
      </c>
      <c r="G178">
        <v>7381.2177869999996</v>
      </c>
      <c r="H178">
        <v>165812.29</v>
      </c>
      <c r="I178">
        <v>241287</v>
      </c>
      <c r="J178">
        <v>7629.73</v>
      </c>
      <c r="K178">
        <v>47.429400000000001</v>
      </c>
      <c r="L178">
        <v>59241.315785580002</v>
      </c>
      <c r="M178">
        <v>0.28000000000000003</v>
      </c>
      <c r="N178">
        <v>1.39</v>
      </c>
      <c r="O178">
        <v>-7.5075075075077893E-2</v>
      </c>
      <c r="P178">
        <v>-4.3821839080459704</v>
      </c>
      <c r="Q178">
        <f t="shared" si="36"/>
        <v>-7.5103270522288018E-2</v>
      </c>
      <c r="R178">
        <f t="shared" si="26"/>
        <v>0.18416212135845303</v>
      </c>
      <c r="S178">
        <f t="shared" si="27"/>
        <v>2.743165446067076</v>
      </c>
      <c r="T178">
        <f t="shared" si="28"/>
        <v>0.37037079374844317</v>
      </c>
      <c r="U178">
        <f t="shared" si="29"/>
        <v>6.2630650445310421</v>
      </c>
      <c r="V178">
        <f t="shared" si="30"/>
        <v>2.960671883792577</v>
      </c>
      <c r="W178">
        <f t="shared" si="31"/>
        <v>-23.411956172419831</v>
      </c>
      <c r="X178">
        <f t="shared" si="32"/>
        <v>31.005207607583955</v>
      </c>
      <c r="Y178">
        <f t="shared" si="33"/>
        <v>-2.0450732516767238</v>
      </c>
      <c r="Z178">
        <f t="shared" si="34"/>
        <v>1.5907202149946786</v>
      </c>
      <c r="AA178">
        <f t="shared" si="35"/>
        <v>-1.5655056277804749</v>
      </c>
      <c r="AB178">
        <f t="shared" si="37"/>
        <v>-4.9999999999999989E-2</v>
      </c>
      <c r="AC178">
        <f t="shared" si="38"/>
        <v>-5.500000000000016E-2</v>
      </c>
    </row>
    <row r="179" spans="1:29" x14ac:dyDescent="0.2">
      <c r="A179" s="1">
        <v>42674</v>
      </c>
      <c r="B179">
        <v>80.567951318458398</v>
      </c>
      <c r="C179">
        <v>92.838874680000004</v>
      </c>
      <c r="D179">
        <v>87.7</v>
      </c>
      <c r="E179">
        <v>109</v>
      </c>
      <c r="F179">
        <v>5036.0766599999997</v>
      </c>
      <c r="G179">
        <v>7260.092388</v>
      </c>
      <c r="H179">
        <v>174751.03</v>
      </c>
      <c r="I179">
        <v>176987</v>
      </c>
      <c r="J179">
        <v>7404.8</v>
      </c>
      <c r="K179">
        <v>48.348199999999999</v>
      </c>
      <c r="L179">
        <v>59680.194921809998</v>
      </c>
      <c r="M179">
        <v>0.34</v>
      </c>
      <c r="N179">
        <v>1.456</v>
      </c>
      <c r="O179">
        <v>-0.52592036063110004</v>
      </c>
      <c r="P179">
        <v>-4.8166786484543396</v>
      </c>
      <c r="Q179">
        <f t="shared" si="36"/>
        <v>-0.5273081898158003</v>
      </c>
      <c r="R179">
        <f t="shared" si="26"/>
        <v>0.18382357707268954</v>
      </c>
      <c r="S179">
        <f t="shared" si="27"/>
        <v>3.1270642887820879</v>
      </c>
      <c r="T179">
        <f t="shared" si="28"/>
        <v>0.73665158167624256</v>
      </c>
      <c r="U179">
        <f t="shared" si="29"/>
        <v>-6.2630319235047249</v>
      </c>
      <c r="V179">
        <f t="shared" si="30"/>
        <v>-1.6546082412481855</v>
      </c>
      <c r="W179">
        <f t="shared" si="31"/>
        <v>5.2505909824635753</v>
      </c>
      <c r="X179">
        <f t="shared" si="32"/>
        <v>-30.99108127862608</v>
      </c>
      <c r="Y179">
        <f t="shared" si="33"/>
        <v>-2.9924019461361326</v>
      </c>
      <c r="Z179">
        <f t="shared" si="34"/>
        <v>1.9186703076324993</v>
      </c>
      <c r="AA179">
        <f t="shared" si="35"/>
        <v>0.73810217530856581</v>
      </c>
      <c r="AB179">
        <f t="shared" si="37"/>
        <v>0.06</v>
      </c>
      <c r="AC179">
        <f t="shared" si="38"/>
        <v>6.6000000000000059E-2</v>
      </c>
    </row>
    <row r="180" spans="1:29" x14ac:dyDescent="0.2">
      <c r="A180" s="1">
        <v>42704</v>
      </c>
      <c r="B180">
        <v>80.872210953346794</v>
      </c>
      <c r="C180">
        <v>93.350383629999996</v>
      </c>
      <c r="D180">
        <v>92.3</v>
      </c>
      <c r="E180">
        <v>109.1</v>
      </c>
      <c r="F180">
        <v>4886.8834450000004</v>
      </c>
      <c r="G180">
        <v>7377.520829</v>
      </c>
      <c r="H180">
        <v>208727.53</v>
      </c>
      <c r="I180">
        <v>228357</v>
      </c>
      <c r="J180">
        <v>6781.2</v>
      </c>
      <c r="K180">
        <v>49.155000000000001</v>
      </c>
      <c r="L180">
        <v>59064.642237669999</v>
      </c>
      <c r="M180">
        <v>0.48</v>
      </c>
      <c r="N180">
        <v>1.542</v>
      </c>
      <c r="O180" s="2">
        <v>0.37764350453171103</v>
      </c>
      <c r="P180">
        <v>-4.7311827956989303</v>
      </c>
      <c r="Q180">
        <f t="shared" si="36"/>
        <v>0.37693222162912532</v>
      </c>
      <c r="R180">
        <f t="shared" si="26"/>
        <v>0.54945193025902517</v>
      </c>
      <c r="S180">
        <f t="shared" si="27"/>
        <v>5.112224213066904</v>
      </c>
      <c r="T180">
        <f t="shared" si="28"/>
        <v>9.170106098814064E-2</v>
      </c>
      <c r="U180">
        <f t="shared" si="29"/>
        <v>-3.0072570471599658</v>
      </c>
      <c r="V180">
        <f t="shared" si="30"/>
        <v>1.604509676953332</v>
      </c>
      <c r="W180">
        <f t="shared" si="31"/>
        <v>17.766744198769693</v>
      </c>
      <c r="X180">
        <f t="shared" si="32"/>
        <v>25.483391030906787</v>
      </c>
      <c r="Y180">
        <f t="shared" si="33"/>
        <v>-8.7974361135504804</v>
      </c>
      <c r="Z180">
        <f t="shared" si="34"/>
        <v>1.6549578154465758</v>
      </c>
      <c r="AA180">
        <f t="shared" si="35"/>
        <v>-1.036774671938604</v>
      </c>
      <c r="AB180">
        <f t="shared" si="37"/>
        <v>0.13999999999999996</v>
      </c>
      <c r="AC180">
        <f t="shared" si="38"/>
        <v>8.6000000000000076E-2</v>
      </c>
    </row>
    <row r="181" spans="1:29" x14ac:dyDescent="0.2">
      <c r="A181" s="1">
        <v>42735</v>
      </c>
      <c r="B181">
        <v>81.115618661257599</v>
      </c>
      <c r="C181">
        <v>93.691389599999994</v>
      </c>
      <c r="D181">
        <v>95.9</v>
      </c>
      <c r="E181">
        <v>109.3</v>
      </c>
      <c r="F181">
        <v>4965.0497640000003</v>
      </c>
      <c r="G181">
        <v>7432.6703289999996</v>
      </c>
      <c r="H181">
        <v>165868</v>
      </c>
      <c r="I181">
        <v>283555</v>
      </c>
      <c r="J181">
        <v>6840.64</v>
      </c>
      <c r="K181">
        <v>49.815600000000003</v>
      </c>
      <c r="L181">
        <v>61619.637356040002</v>
      </c>
      <c r="M181">
        <v>0.5</v>
      </c>
      <c r="N181">
        <v>1.643</v>
      </c>
      <c r="O181" s="2">
        <v>0.30097817908201502</v>
      </c>
      <c r="P181">
        <v>-4.23850574712643</v>
      </c>
      <c r="Q181">
        <f t="shared" si="36"/>
        <v>0.30052614654639592</v>
      </c>
      <c r="R181">
        <f t="shared" si="26"/>
        <v>0.36463121786556296</v>
      </c>
      <c r="S181">
        <f t="shared" si="27"/>
        <v>3.8261840380586096</v>
      </c>
      <c r="T181">
        <f t="shared" si="28"/>
        <v>0.18315023434678407</v>
      </c>
      <c r="U181">
        <f t="shared" si="29"/>
        <v>1.5868552414261006</v>
      </c>
      <c r="V181">
        <f t="shared" si="30"/>
        <v>0.74475412668202701</v>
      </c>
      <c r="W181">
        <f t="shared" si="31"/>
        <v>-22.983742590896426</v>
      </c>
      <c r="X181">
        <f t="shared" si="32"/>
        <v>21.649591402099315</v>
      </c>
      <c r="Y181">
        <f t="shared" si="33"/>
        <v>0.87272170671179494</v>
      </c>
      <c r="Z181">
        <f t="shared" si="34"/>
        <v>1.3349617170286958</v>
      </c>
      <c r="AA181">
        <f t="shared" si="35"/>
        <v>4.2348132697794965</v>
      </c>
      <c r="AB181">
        <f t="shared" si="37"/>
        <v>2.0000000000000018E-2</v>
      </c>
      <c r="AC181">
        <f t="shared" si="38"/>
        <v>0.10099999999999998</v>
      </c>
    </row>
    <row r="182" spans="1:29" x14ac:dyDescent="0.2">
      <c r="A182" s="1">
        <v>42766</v>
      </c>
      <c r="B182">
        <v>81.602434077079096</v>
      </c>
      <c r="C182">
        <v>94.032395570000006</v>
      </c>
      <c r="D182">
        <v>86.8</v>
      </c>
      <c r="E182">
        <v>109.2</v>
      </c>
      <c r="F182">
        <v>5597.1235150000002</v>
      </c>
      <c r="G182">
        <v>7926.0060979999998</v>
      </c>
      <c r="H182">
        <v>200314.02</v>
      </c>
      <c r="I182">
        <v>198092.45300000001</v>
      </c>
      <c r="J182">
        <v>7229.66</v>
      </c>
      <c r="K182">
        <v>49.7363</v>
      </c>
      <c r="L182">
        <v>60889.113151359998</v>
      </c>
      <c r="M182">
        <v>0.52</v>
      </c>
      <c r="N182">
        <v>1.605</v>
      </c>
      <c r="O182" s="2">
        <v>0.600150037509388</v>
      </c>
      <c r="P182">
        <v>-1.0332103321033099</v>
      </c>
      <c r="Q182">
        <f t="shared" si="36"/>
        <v>0.59835631029698078</v>
      </c>
      <c r="R182">
        <f t="shared" si="26"/>
        <v>0.36330648753307454</v>
      </c>
      <c r="S182">
        <f t="shared" si="27"/>
        <v>-9.9699360223088167</v>
      </c>
      <c r="T182">
        <f t="shared" si="28"/>
        <v>-9.1533187168820376E-2</v>
      </c>
      <c r="U182">
        <f t="shared" si="29"/>
        <v>11.982948733027634</v>
      </c>
      <c r="V182">
        <f t="shared" si="30"/>
        <v>6.426407172266571</v>
      </c>
      <c r="W182">
        <f t="shared" si="31"/>
        <v>18.869394391996529</v>
      </c>
      <c r="X182">
        <f t="shared" si="32"/>
        <v>-35.867225182084077</v>
      </c>
      <c r="Y182">
        <f t="shared" si="33"/>
        <v>5.5310714276732735</v>
      </c>
      <c r="Z182">
        <f t="shared" si="34"/>
        <v>-0.15931391921713831</v>
      </c>
      <c r="AA182">
        <f t="shared" si="35"/>
        <v>-1.1926215236912807</v>
      </c>
      <c r="AB182">
        <f t="shared" si="37"/>
        <v>2.0000000000000018E-2</v>
      </c>
      <c r="AC182">
        <f t="shared" si="38"/>
        <v>-3.8000000000000034E-2</v>
      </c>
    </row>
    <row r="183" spans="1:29" x14ac:dyDescent="0.2">
      <c r="A183" s="1">
        <v>42794</v>
      </c>
      <c r="B183">
        <v>81.6632860040568</v>
      </c>
      <c r="C183">
        <v>94.373401529999995</v>
      </c>
      <c r="D183">
        <v>87.4</v>
      </c>
      <c r="E183">
        <v>109.9</v>
      </c>
      <c r="F183">
        <v>5156.302447</v>
      </c>
      <c r="G183">
        <v>6825.9551650000003</v>
      </c>
      <c r="H183">
        <v>151838.01</v>
      </c>
      <c r="I183">
        <v>175562</v>
      </c>
      <c r="J183">
        <v>7212.09</v>
      </c>
      <c r="K183">
        <v>49.961399999999998</v>
      </c>
      <c r="L183">
        <v>60743.212405810002</v>
      </c>
      <c r="M183">
        <v>0.53</v>
      </c>
      <c r="N183">
        <v>1.617</v>
      </c>
      <c r="O183">
        <v>7.4571215510803396E-2</v>
      </c>
      <c r="P183">
        <v>-1.2509197939661501</v>
      </c>
      <c r="Q183">
        <f t="shared" si="36"/>
        <v>7.4543424994888544E-2</v>
      </c>
      <c r="R183">
        <f t="shared" si="26"/>
        <v>0.3619913374437822</v>
      </c>
      <c r="S183">
        <f t="shared" si="27"/>
        <v>0.68886609951853162</v>
      </c>
      <c r="T183">
        <f t="shared" si="28"/>
        <v>0.63897980987709879</v>
      </c>
      <c r="U183">
        <f t="shared" si="29"/>
        <v>-8.2033065149389461</v>
      </c>
      <c r="V183">
        <f t="shared" si="30"/>
        <v>-14.941698194003008</v>
      </c>
      <c r="W183">
        <f t="shared" si="31"/>
        <v>-27.707200635493862</v>
      </c>
      <c r="X183">
        <f t="shared" si="32"/>
        <v>-12.07415991862532</v>
      </c>
      <c r="Y183">
        <f t="shared" si="33"/>
        <v>-0.2433224320974291</v>
      </c>
      <c r="Z183">
        <f t="shared" si="34"/>
        <v>0.45156584856874155</v>
      </c>
      <c r="AA183">
        <f t="shared" si="35"/>
        <v>-0.23990467148989778</v>
      </c>
      <c r="AB183">
        <f t="shared" si="37"/>
        <v>1.0000000000000009E-2</v>
      </c>
      <c r="AC183">
        <f t="shared" si="38"/>
        <v>1.2000000000000011E-2</v>
      </c>
    </row>
    <row r="184" spans="1:29" x14ac:dyDescent="0.2">
      <c r="A184" s="1">
        <v>42825</v>
      </c>
      <c r="B184">
        <v>81.4807302231237</v>
      </c>
      <c r="C184">
        <v>94.373401529999995</v>
      </c>
      <c r="D184">
        <v>96.8</v>
      </c>
      <c r="E184">
        <v>109.8</v>
      </c>
      <c r="F184">
        <v>6003.0473570000004</v>
      </c>
      <c r="G184">
        <v>8107.1335410000002</v>
      </c>
      <c r="H184">
        <v>180218.17</v>
      </c>
      <c r="I184">
        <v>241708</v>
      </c>
      <c r="J184">
        <v>7311.72</v>
      </c>
      <c r="K184">
        <v>50.275199999999998</v>
      </c>
      <c r="L184">
        <v>62026.848227440001</v>
      </c>
      <c r="M184">
        <v>0.75</v>
      </c>
      <c r="N184">
        <v>1.7390000000000001</v>
      </c>
      <c r="O184">
        <v>-0.223546944858416</v>
      </c>
      <c r="P184">
        <v>-0.37202380952381098</v>
      </c>
      <c r="Q184">
        <f t="shared" si="36"/>
        <v>-0.22379718404550533</v>
      </c>
      <c r="R184">
        <f t="shared" si="26"/>
        <v>0</v>
      </c>
      <c r="S184">
        <f t="shared" si="27"/>
        <v>10.215171162104154</v>
      </c>
      <c r="T184">
        <f t="shared" si="28"/>
        <v>-9.1033233414548484E-2</v>
      </c>
      <c r="U184">
        <f t="shared" si="29"/>
        <v>15.204749053895966</v>
      </c>
      <c r="V184">
        <f t="shared" si="30"/>
        <v>17.201207598322654</v>
      </c>
      <c r="W184">
        <f t="shared" si="31"/>
        <v>17.135394362464069</v>
      </c>
      <c r="X184">
        <f t="shared" si="32"/>
        <v>31.973812917279528</v>
      </c>
      <c r="Y184">
        <f t="shared" si="33"/>
        <v>1.3719755737477382</v>
      </c>
      <c r="Z184">
        <f t="shared" si="34"/>
        <v>0.62612064884505847</v>
      </c>
      <c r="AA184">
        <f t="shared" si="35"/>
        <v>2.0911981205657124</v>
      </c>
      <c r="AB184">
        <f t="shared" si="37"/>
        <v>0.21999999999999997</v>
      </c>
      <c r="AC184">
        <f t="shared" si="38"/>
        <v>0.12200000000000011</v>
      </c>
    </row>
    <row r="185" spans="1:29" x14ac:dyDescent="0.2">
      <c r="A185" s="1">
        <v>42855</v>
      </c>
      <c r="B185">
        <v>80.750507099391498</v>
      </c>
      <c r="C185">
        <v>94.714407499999993</v>
      </c>
      <c r="D185">
        <v>85.6</v>
      </c>
      <c r="E185">
        <v>109.9</v>
      </c>
      <c r="F185">
        <v>5587.1100800000004</v>
      </c>
      <c r="G185">
        <v>7140.8200040000002</v>
      </c>
      <c r="H185">
        <v>235875.89</v>
      </c>
      <c r="I185">
        <v>183079</v>
      </c>
      <c r="J185">
        <v>7661.01</v>
      </c>
      <c r="K185">
        <v>49.8626</v>
      </c>
      <c r="L185">
        <v>63860.023387519999</v>
      </c>
      <c r="M185">
        <v>0.79</v>
      </c>
      <c r="N185">
        <v>1.659</v>
      </c>
      <c r="O185">
        <v>-0.89619118745332105</v>
      </c>
      <c r="P185">
        <v>-1.70370370370369</v>
      </c>
      <c r="Q185">
        <f t="shared" si="36"/>
        <v>-0.90023113589644166</v>
      </c>
      <c r="R185">
        <f t="shared" si="26"/>
        <v>0.36068569564583813</v>
      </c>
      <c r="S185">
        <f t="shared" si="27"/>
        <v>-12.296171113483497</v>
      </c>
      <c r="T185">
        <f t="shared" si="28"/>
        <v>9.1033233414560752E-2</v>
      </c>
      <c r="U185">
        <f t="shared" si="29"/>
        <v>-7.180505996287569</v>
      </c>
      <c r="V185">
        <f t="shared" si="30"/>
        <v>-12.691674192204697</v>
      </c>
      <c r="W185">
        <f t="shared" si="31"/>
        <v>26.913760436711847</v>
      </c>
      <c r="X185">
        <f t="shared" si="32"/>
        <v>-27.781263236714416</v>
      </c>
      <c r="Y185">
        <f t="shared" si="33"/>
        <v>4.6665288644439489</v>
      </c>
      <c r="Z185">
        <f t="shared" si="34"/>
        <v>-0.82406910264604338</v>
      </c>
      <c r="AA185">
        <f t="shared" si="35"/>
        <v>2.9126226279154155</v>
      </c>
      <c r="AB185">
        <f t="shared" si="37"/>
        <v>4.0000000000000036E-2</v>
      </c>
      <c r="AC185">
        <f t="shared" si="38"/>
        <v>-8.0000000000000071E-2</v>
      </c>
    </row>
    <row r="186" spans="1:29" x14ac:dyDescent="0.2">
      <c r="A186" s="1">
        <v>42886</v>
      </c>
      <c r="B186">
        <v>80.750507099391498</v>
      </c>
      <c r="C186">
        <v>94.629156010000003</v>
      </c>
      <c r="D186">
        <v>90</v>
      </c>
      <c r="E186">
        <v>110.1</v>
      </c>
      <c r="F186">
        <v>5987.5502820000002</v>
      </c>
      <c r="G186">
        <v>8494.9461900000006</v>
      </c>
      <c r="H186">
        <v>228236.74</v>
      </c>
      <c r="I186">
        <v>261672</v>
      </c>
      <c r="J186">
        <v>7837.12</v>
      </c>
      <c r="K186">
        <v>49.860300000000002</v>
      </c>
      <c r="L186">
        <v>63682.05068113</v>
      </c>
      <c r="M186">
        <v>0.96</v>
      </c>
      <c r="N186">
        <v>1.76</v>
      </c>
      <c r="O186">
        <v>0</v>
      </c>
      <c r="P186">
        <v>-1.8491124260355001</v>
      </c>
      <c r="Q186">
        <f t="shared" si="36"/>
        <v>0</v>
      </c>
      <c r="R186">
        <f t="shared" si="26"/>
        <v>-9.0049531318029244E-2</v>
      </c>
      <c r="S186">
        <f t="shared" si="27"/>
        <v>5.012438718256881</v>
      </c>
      <c r="T186">
        <f t="shared" si="28"/>
        <v>0.1818182319058505</v>
      </c>
      <c r="U186">
        <f t="shared" si="29"/>
        <v>6.9220187365979822</v>
      </c>
      <c r="V186">
        <f t="shared" si="30"/>
        <v>17.36438045337928</v>
      </c>
      <c r="W186">
        <f t="shared" si="31"/>
        <v>-3.2922353273962499</v>
      </c>
      <c r="X186">
        <f t="shared" si="32"/>
        <v>35.717405739474032</v>
      </c>
      <c r="Y186">
        <f t="shared" si="33"/>
        <v>2.2727591088671639</v>
      </c>
      <c r="Z186">
        <f t="shared" si="34"/>
        <v>-4.612782019785459E-3</v>
      </c>
      <c r="AA186">
        <f t="shared" si="35"/>
        <v>-0.27908095928821636</v>
      </c>
      <c r="AB186">
        <f t="shared" si="37"/>
        <v>0.16999999999999993</v>
      </c>
      <c r="AC186">
        <f t="shared" si="38"/>
        <v>0.10099999999999998</v>
      </c>
    </row>
    <row r="187" spans="1:29" x14ac:dyDescent="0.2">
      <c r="A187" s="1">
        <v>42916</v>
      </c>
      <c r="B187">
        <v>80.689655172413794</v>
      </c>
      <c r="C187">
        <v>94.629156010000003</v>
      </c>
      <c r="D187">
        <v>90.5</v>
      </c>
      <c r="E187">
        <v>110</v>
      </c>
      <c r="F187">
        <v>5704.0359010000002</v>
      </c>
      <c r="G187">
        <v>7289.6831309999998</v>
      </c>
      <c r="H187">
        <v>179866.44</v>
      </c>
      <c r="I187">
        <v>270717</v>
      </c>
      <c r="J187">
        <v>7843.16</v>
      </c>
      <c r="K187">
        <v>49.850099999999998</v>
      </c>
      <c r="L187">
        <v>64224.403262309999</v>
      </c>
      <c r="M187">
        <v>1.01</v>
      </c>
      <c r="N187">
        <v>1.734</v>
      </c>
      <c r="O187">
        <v>-7.5357950263755705E-2</v>
      </c>
      <c r="P187">
        <v>-1.92307692307692</v>
      </c>
      <c r="Q187">
        <f t="shared" si="36"/>
        <v>-7.5386358639993323E-2</v>
      </c>
      <c r="R187">
        <f t="shared" si="26"/>
        <v>0</v>
      </c>
      <c r="S187">
        <f t="shared" si="27"/>
        <v>0.55401803756153511</v>
      </c>
      <c r="T187">
        <f t="shared" si="28"/>
        <v>-9.0867793621795326E-2</v>
      </c>
      <c r="U187">
        <f t="shared" si="29"/>
        <v>-4.8508383434186797</v>
      </c>
      <c r="V187">
        <f t="shared" si="30"/>
        <v>-15.301134196879341</v>
      </c>
      <c r="W187">
        <f t="shared" si="31"/>
        <v>-23.816884812062128</v>
      </c>
      <c r="X187">
        <f t="shared" si="32"/>
        <v>3.3982183723983441</v>
      </c>
      <c r="Y187">
        <f t="shared" si="33"/>
        <v>7.7039444432527346E-2</v>
      </c>
      <c r="Z187">
        <f t="shared" si="34"/>
        <v>-2.0459250059334595E-2</v>
      </c>
      <c r="AA187">
        <f t="shared" si="35"/>
        <v>0.84805076665013612</v>
      </c>
      <c r="AB187">
        <f t="shared" si="37"/>
        <v>5.0000000000000044E-2</v>
      </c>
      <c r="AC187">
        <f t="shared" si="38"/>
        <v>-2.6000000000000023E-2</v>
      </c>
    </row>
    <row r="188" spans="1:29" x14ac:dyDescent="0.2">
      <c r="A188" s="1">
        <v>42947</v>
      </c>
      <c r="B188">
        <v>80.628803245436103</v>
      </c>
      <c r="C188">
        <v>94.714407499999993</v>
      </c>
      <c r="D188">
        <v>88.4</v>
      </c>
      <c r="E188">
        <v>110.1</v>
      </c>
      <c r="F188">
        <v>5833.6144480000003</v>
      </c>
      <c r="G188">
        <v>7138.8919589999996</v>
      </c>
      <c r="H188">
        <v>194622.48</v>
      </c>
      <c r="I188">
        <v>245133</v>
      </c>
      <c r="J188">
        <v>8018.05</v>
      </c>
      <c r="K188">
        <v>50.638199999999998</v>
      </c>
      <c r="L188">
        <v>64150.893357039997</v>
      </c>
      <c r="M188">
        <v>1.05</v>
      </c>
      <c r="N188">
        <v>1.784</v>
      </c>
      <c r="O188">
        <v>-7.5414781297137107E-2</v>
      </c>
      <c r="P188">
        <v>-0.89753178758414098</v>
      </c>
      <c r="Q188">
        <f t="shared" si="36"/>
        <v>-7.5443232548523115E-2</v>
      </c>
      <c r="R188">
        <f t="shared" si="26"/>
        <v>9.0049531318031562E-2</v>
      </c>
      <c r="S188">
        <f t="shared" si="27"/>
        <v>-2.3477881062282648</v>
      </c>
      <c r="T188">
        <f t="shared" si="28"/>
        <v>9.0867793621789039E-2</v>
      </c>
      <c r="U188">
        <f t="shared" si="29"/>
        <v>2.2462805089524678</v>
      </c>
      <c r="V188">
        <f t="shared" si="30"/>
        <v>-2.0902502327245722</v>
      </c>
      <c r="W188">
        <f t="shared" si="31"/>
        <v>7.8847106621496366</v>
      </c>
      <c r="X188">
        <f t="shared" si="32"/>
        <v>-9.9273074402224637</v>
      </c>
      <c r="Y188">
        <f t="shared" si="33"/>
        <v>2.2053435790489977</v>
      </c>
      <c r="Z188">
        <f t="shared" si="34"/>
        <v>1.5685729756595297</v>
      </c>
      <c r="AA188">
        <f t="shared" si="35"/>
        <v>-0.11452345621037913</v>
      </c>
      <c r="AB188">
        <f t="shared" si="37"/>
        <v>4.0000000000000036E-2</v>
      </c>
      <c r="AC188">
        <f t="shared" si="38"/>
        <v>5.0000000000000044E-2</v>
      </c>
    </row>
    <row r="189" spans="1:29" x14ac:dyDescent="0.2">
      <c r="A189" s="1">
        <v>42978</v>
      </c>
      <c r="B189">
        <v>80.750507099391498</v>
      </c>
      <c r="C189">
        <v>94.884910489999996</v>
      </c>
      <c r="D189">
        <v>95.2</v>
      </c>
      <c r="E189">
        <v>110.1</v>
      </c>
      <c r="F189">
        <v>5978.8280629999999</v>
      </c>
      <c r="G189">
        <v>8715.3397289999994</v>
      </c>
      <c r="H189">
        <v>230407.98</v>
      </c>
      <c r="I189">
        <v>201600</v>
      </c>
      <c r="J189">
        <v>7958.57</v>
      </c>
      <c r="K189">
        <v>50.874699999999997</v>
      </c>
      <c r="L189">
        <v>64566.739934930003</v>
      </c>
      <c r="M189">
        <v>0.99</v>
      </c>
      <c r="N189">
        <v>1.724</v>
      </c>
      <c r="O189">
        <v>0.150943396226421</v>
      </c>
      <c r="P189">
        <v>-0.37537537537537702</v>
      </c>
      <c r="Q189">
        <f t="shared" si="36"/>
        <v>0.1508295911885103</v>
      </c>
      <c r="R189">
        <f t="shared" si="26"/>
        <v>0.17985617012741964</v>
      </c>
      <c r="S189">
        <f t="shared" si="27"/>
        <v>7.4107972153721837</v>
      </c>
      <c r="T189">
        <f t="shared" si="28"/>
        <v>0</v>
      </c>
      <c r="U189">
        <f t="shared" si="29"/>
        <v>2.4587790483841228</v>
      </c>
      <c r="V189">
        <f t="shared" si="30"/>
        <v>19.952708381853775</v>
      </c>
      <c r="W189">
        <f t="shared" si="31"/>
        <v>16.878988154515255</v>
      </c>
      <c r="X189">
        <f t="shared" si="32"/>
        <v>-19.55153841967357</v>
      </c>
      <c r="Y189">
        <f t="shared" si="33"/>
        <v>-0.74459146935338005</v>
      </c>
      <c r="Z189">
        <f t="shared" si="34"/>
        <v>0.46595147589913766</v>
      </c>
      <c r="AA189">
        <f t="shared" si="35"/>
        <v>0.64613994841608835</v>
      </c>
      <c r="AB189">
        <f t="shared" si="37"/>
        <v>-6.0000000000000053E-2</v>
      </c>
      <c r="AC189">
        <f t="shared" si="38"/>
        <v>-6.0000000000000053E-2</v>
      </c>
    </row>
    <row r="190" spans="1:29" x14ac:dyDescent="0.2">
      <c r="A190" s="1">
        <v>43008</v>
      </c>
      <c r="B190">
        <v>80.567951318458398</v>
      </c>
      <c r="C190">
        <v>95.481670930000007</v>
      </c>
      <c r="D190">
        <v>93.4</v>
      </c>
      <c r="E190">
        <v>110</v>
      </c>
      <c r="F190">
        <v>5985.710814</v>
      </c>
      <c r="G190">
        <v>7737.8872359999996</v>
      </c>
      <c r="H190">
        <v>200091.24</v>
      </c>
      <c r="I190">
        <v>236983</v>
      </c>
      <c r="J190">
        <v>8171.43</v>
      </c>
      <c r="K190">
        <v>51.009399999999999</v>
      </c>
      <c r="L190">
        <v>65308.698319679999</v>
      </c>
      <c r="M190">
        <v>1.04</v>
      </c>
      <c r="N190">
        <v>1.746</v>
      </c>
      <c r="O190">
        <v>-0.226073850791254</v>
      </c>
      <c r="P190">
        <v>-0.52592036063110004</v>
      </c>
      <c r="Q190">
        <f t="shared" si="36"/>
        <v>-0.22632978352544911</v>
      </c>
      <c r="R190">
        <f t="shared" si="26"/>
        <v>0.62696129786848376</v>
      </c>
      <c r="S190">
        <f t="shared" si="27"/>
        <v>-1.9088596562522624</v>
      </c>
      <c r="T190">
        <f t="shared" si="28"/>
        <v>-9.0867793621795326E-2</v>
      </c>
      <c r="U190">
        <f t="shared" si="29"/>
        <v>0.1150525202849435</v>
      </c>
      <c r="V190">
        <f t="shared" si="30"/>
        <v>-11.89559768977108</v>
      </c>
      <c r="W190">
        <f t="shared" si="31"/>
        <v>-14.107810111815699</v>
      </c>
      <c r="X190">
        <f t="shared" si="32"/>
        <v>16.170287240739526</v>
      </c>
      <c r="Y190">
        <f t="shared" si="33"/>
        <v>2.6394588679191076</v>
      </c>
      <c r="Z190">
        <f t="shared" si="34"/>
        <v>0.26441825266522218</v>
      </c>
      <c r="AA190">
        <f t="shared" si="35"/>
        <v>1.1425816406059979</v>
      </c>
      <c r="AB190">
        <f t="shared" si="37"/>
        <v>5.0000000000000044E-2</v>
      </c>
      <c r="AC190">
        <f t="shared" si="38"/>
        <v>2.200000000000002E-2</v>
      </c>
    </row>
    <row r="191" spans="1:29" x14ac:dyDescent="0.2">
      <c r="A191" s="1">
        <v>43039</v>
      </c>
      <c r="B191">
        <v>80.993914807302204</v>
      </c>
      <c r="C191">
        <v>95.737425400000006</v>
      </c>
      <c r="D191">
        <v>97.2</v>
      </c>
      <c r="E191">
        <v>110.3</v>
      </c>
      <c r="F191">
        <v>5912.6451530000004</v>
      </c>
      <c r="G191">
        <v>8497.7897799999992</v>
      </c>
      <c r="H191">
        <v>205079.12</v>
      </c>
      <c r="I191">
        <v>226868</v>
      </c>
      <c r="J191">
        <v>8365.26</v>
      </c>
      <c r="K191">
        <v>51.343299999999999</v>
      </c>
      <c r="L191">
        <v>65789.751114719998</v>
      </c>
      <c r="M191">
        <v>1.1299999999999999</v>
      </c>
      <c r="N191">
        <v>1.8009999999999999</v>
      </c>
      <c r="O191" s="2">
        <v>0.52870090634440603</v>
      </c>
      <c r="P191">
        <v>0.52870090634440603</v>
      </c>
      <c r="Q191">
        <f t="shared" si="36"/>
        <v>0.52730818981580407</v>
      </c>
      <c r="R191">
        <f t="shared" si="26"/>
        <v>0.26749903897091459</v>
      </c>
      <c r="S191">
        <f t="shared" si="27"/>
        <v>3.9879366231596327</v>
      </c>
      <c r="T191">
        <f t="shared" si="28"/>
        <v>0.27235604670405206</v>
      </c>
      <c r="U191">
        <f t="shared" si="29"/>
        <v>-1.2281794165635245</v>
      </c>
      <c r="V191">
        <f t="shared" si="30"/>
        <v>9.3677420387007526</v>
      </c>
      <c r="W191">
        <f t="shared" si="31"/>
        <v>2.4622393377452756</v>
      </c>
      <c r="X191">
        <f t="shared" si="32"/>
        <v>-4.3620058055978292</v>
      </c>
      <c r="Y191">
        <f t="shared" si="33"/>
        <v>2.3443491688979425</v>
      </c>
      <c r="Z191">
        <f t="shared" si="34"/>
        <v>0.65245212777406592</v>
      </c>
      <c r="AA191">
        <f t="shared" si="35"/>
        <v>0.73388351453231082</v>
      </c>
      <c r="AB191">
        <f t="shared" si="37"/>
        <v>8.9999999999999858E-2</v>
      </c>
      <c r="AC191">
        <f t="shared" si="38"/>
        <v>5.4999999999999938E-2</v>
      </c>
    </row>
    <row r="192" spans="1:29" x14ac:dyDescent="0.2">
      <c r="A192" s="1">
        <v>43069</v>
      </c>
      <c r="B192">
        <v>80.385395537525298</v>
      </c>
      <c r="C192">
        <v>96.163682859999994</v>
      </c>
      <c r="D192">
        <v>99.5</v>
      </c>
      <c r="E192">
        <v>110.5</v>
      </c>
      <c r="F192">
        <v>5582.9009230000001</v>
      </c>
      <c r="G192">
        <v>8862.5318040000002</v>
      </c>
      <c r="H192">
        <v>243491.79</v>
      </c>
      <c r="I192">
        <v>252115</v>
      </c>
      <c r="J192">
        <v>8254.0300000000007</v>
      </c>
      <c r="K192">
        <v>51.038400000000003</v>
      </c>
      <c r="L192">
        <v>68440.325827830005</v>
      </c>
      <c r="M192">
        <v>1.25</v>
      </c>
      <c r="N192">
        <v>1.8240000000000001</v>
      </c>
      <c r="O192">
        <v>-0.75131480090158198</v>
      </c>
      <c r="P192">
        <v>-0.60195635816403104</v>
      </c>
      <c r="Q192">
        <f t="shared" si="36"/>
        <v>-0.75415138727866848</v>
      </c>
      <c r="R192">
        <f t="shared" si="26"/>
        <v>0.44424773249316563</v>
      </c>
      <c r="S192">
        <f t="shared" si="27"/>
        <v>2.3386932698153724</v>
      </c>
      <c r="T192">
        <f t="shared" si="28"/>
        <v>0.18115946983508241</v>
      </c>
      <c r="U192">
        <f t="shared" si="29"/>
        <v>-5.7384783730019979</v>
      </c>
      <c r="V192">
        <f t="shared" si="30"/>
        <v>4.2026376654147537</v>
      </c>
      <c r="W192">
        <f t="shared" si="31"/>
        <v>17.168736942387618</v>
      </c>
      <c r="X192">
        <f t="shared" si="32"/>
        <v>10.551698207351098</v>
      </c>
      <c r="Y192">
        <f t="shared" si="33"/>
        <v>-1.3385849919387494</v>
      </c>
      <c r="Z192">
        <f t="shared" si="34"/>
        <v>-0.5956160161074262</v>
      </c>
      <c r="AA192">
        <f t="shared" si="35"/>
        <v>3.9498141728585039</v>
      </c>
      <c r="AB192">
        <f t="shared" si="37"/>
        <v>0.12000000000000011</v>
      </c>
      <c r="AC192">
        <f t="shared" si="38"/>
        <v>2.3000000000000131E-2</v>
      </c>
    </row>
    <row r="193" spans="1:29" x14ac:dyDescent="0.2">
      <c r="A193" s="1">
        <v>43100</v>
      </c>
      <c r="B193">
        <v>80.263691683570002</v>
      </c>
      <c r="C193">
        <v>96.419437340000002</v>
      </c>
      <c r="D193">
        <v>109.9</v>
      </c>
      <c r="E193">
        <v>110.7</v>
      </c>
      <c r="F193">
        <v>5384.0284170000004</v>
      </c>
      <c r="G193">
        <v>9356.2505849999998</v>
      </c>
      <c r="H193">
        <v>223090.17</v>
      </c>
      <c r="I193">
        <v>330239.82</v>
      </c>
      <c r="J193">
        <v>8558.42</v>
      </c>
      <c r="K193">
        <v>50.3947</v>
      </c>
      <c r="L193">
        <v>71126.139267649996</v>
      </c>
      <c r="M193">
        <v>1.37</v>
      </c>
      <c r="N193">
        <v>2.2040000000000002</v>
      </c>
      <c r="O193">
        <v>-0.15140045420135601</v>
      </c>
      <c r="P193">
        <v>-1.0502625656414</v>
      </c>
      <c r="Q193">
        <f t="shared" si="36"/>
        <v>-0.15151518050097629</v>
      </c>
      <c r="R193">
        <f t="shared" si="26"/>
        <v>0.26560441028013054</v>
      </c>
      <c r="S193">
        <f t="shared" si="27"/>
        <v>9.9413217245028669</v>
      </c>
      <c r="T193">
        <f t="shared" si="28"/>
        <v>0.18083187567836809</v>
      </c>
      <c r="U193">
        <f t="shared" si="29"/>
        <v>-3.6271649602394902</v>
      </c>
      <c r="V193">
        <f t="shared" si="30"/>
        <v>5.4212151255375458</v>
      </c>
      <c r="W193">
        <f t="shared" si="31"/>
        <v>-8.7507185813219373</v>
      </c>
      <c r="X193">
        <f t="shared" si="32"/>
        <v>26.993378517271356</v>
      </c>
      <c r="Y193">
        <f t="shared" si="33"/>
        <v>3.6214027752326925</v>
      </c>
      <c r="Z193">
        <f t="shared" si="34"/>
        <v>-1.2692279765197159</v>
      </c>
      <c r="AA193">
        <f t="shared" si="35"/>
        <v>3.8492700347714028</v>
      </c>
      <c r="AB193">
        <f t="shared" si="37"/>
        <v>0.12000000000000011</v>
      </c>
      <c r="AC193">
        <f t="shared" si="38"/>
        <v>0.38000000000000012</v>
      </c>
    </row>
    <row r="194" spans="1:29" x14ac:dyDescent="0.2">
      <c r="A194" s="1">
        <v>43131</v>
      </c>
      <c r="B194">
        <v>59.513184584178497</v>
      </c>
      <c r="C194">
        <v>97.2</v>
      </c>
      <c r="D194">
        <v>95.850546350000002</v>
      </c>
      <c r="E194">
        <v>111.4</v>
      </c>
      <c r="F194">
        <v>5656.2116560000004</v>
      </c>
      <c r="G194">
        <v>8882.7003550000009</v>
      </c>
      <c r="H194">
        <v>238897.94798095999</v>
      </c>
      <c r="I194">
        <v>228707</v>
      </c>
      <c r="J194">
        <v>8764.01</v>
      </c>
      <c r="K194">
        <v>50.508699999999997</v>
      </c>
      <c r="L194">
        <v>68903.84710857</v>
      </c>
      <c r="M194">
        <v>1.44</v>
      </c>
      <c r="N194">
        <v>2.4159999999999999</v>
      </c>
      <c r="O194">
        <v>-25.8529188779378</v>
      </c>
      <c r="P194">
        <v>-27.069351230424999</v>
      </c>
      <c r="Q194">
        <f t="shared" si="36"/>
        <v>-29.911948268249759</v>
      </c>
      <c r="R194">
        <f t="shared" si="26"/>
        <v>0.80628980172485898</v>
      </c>
      <c r="S194">
        <f t="shared" si="27"/>
        <v>-13.67806918820026</v>
      </c>
      <c r="T194">
        <f t="shared" si="28"/>
        <v>0.63034877785925247</v>
      </c>
      <c r="U194">
        <f t="shared" si="29"/>
        <v>4.9317479018837238</v>
      </c>
      <c r="V194">
        <f t="shared" si="30"/>
        <v>-5.193902690245781</v>
      </c>
      <c r="W194">
        <f t="shared" si="31"/>
        <v>6.8460425338676147</v>
      </c>
      <c r="X194">
        <f t="shared" si="32"/>
        <v>-36.737740945140644</v>
      </c>
      <c r="Y194">
        <f t="shared" si="33"/>
        <v>2.373796908654445</v>
      </c>
      <c r="Z194">
        <f t="shared" si="34"/>
        <v>0.22595878534221481</v>
      </c>
      <c r="AA194">
        <f t="shared" si="35"/>
        <v>-3.1742897561645633</v>
      </c>
      <c r="AB194">
        <f t="shared" si="37"/>
        <v>6.999999999999984E-2</v>
      </c>
      <c r="AC194">
        <f t="shared" si="38"/>
        <v>0.21199999999999974</v>
      </c>
    </row>
    <row r="195" spans="1:29" x14ac:dyDescent="0.2">
      <c r="A195" s="1">
        <v>43159</v>
      </c>
      <c r="B195">
        <v>59.756592292089202</v>
      </c>
      <c r="C195">
        <v>97.9</v>
      </c>
      <c r="D195">
        <v>97.462468979999997</v>
      </c>
      <c r="E195">
        <v>112</v>
      </c>
      <c r="F195">
        <v>5225.7060410000004</v>
      </c>
      <c r="G195">
        <v>7762.2515629999998</v>
      </c>
      <c r="H195">
        <v>178534.99207355001</v>
      </c>
      <c r="I195">
        <v>230204</v>
      </c>
      <c r="J195">
        <v>8475.2900000000009</v>
      </c>
      <c r="K195">
        <v>51.785600000000002</v>
      </c>
      <c r="L195">
        <v>68827.346992849998</v>
      </c>
      <c r="M195">
        <v>1.63</v>
      </c>
      <c r="N195">
        <v>2.5779999999999998</v>
      </c>
      <c r="O195">
        <v>0.40899795501022401</v>
      </c>
      <c r="P195">
        <v>-26.825633383010398</v>
      </c>
      <c r="Q195">
        <f t="shared" si="36"/>
        <v>0.40816383196477929</v>
      </c>
      <c r="R195">
        <f t="shared" ref="R195:R253" si="39">LN(C195/C194)*100</f>
        <v>0.71758380700714119</v>
      </c>
      <c r="S195">
        <f t="shared" ref="S195:S253" si="40">LN(D195/D194)*100</f>
        <v>1.6677200831834369</v>
      </c>
      <c r="T195">
        <f t="shared" ref="T195:T253" si="41">LN(E195/E194)*100</f>
        <v>0.53715438019108486</v>
      </c>
      <c r="U195">
        <f t="shared" ref="U195:U253" si="42">LN(F195/F194)*100</f>
        <v>-7.9164433207301421</v>
      </c>
      <c r="V195">
        <f t="shared" ref="V195:V253" si="43">LN(G195/G194)*100</f>
        <v>-13.483316282746372</v>
      </c>
      <c r="W195">
        <f t="shared" ref="W195:W253" si="44">LN(H195/H194)*100</f>
        <v>-29.125184881421401</v>
      </c>
      <c r="X195">
        <f t="shared" ref="X195:X253" si="45">LN(I195/I194)*100</f>
        <v>0.65241639879825086</v>
      </c>
      <c r="Y195">
        <f t="shared" ref="Y195:Y253" si="46">LN(J195/J194)*100</f>
        <v>-3.3498691793894344</v>
      </c>
      <c r="Z195">
        <f t="shared" ref="Z195:Z253" si="47">LN(K195/K194)*100</f>
        <v>2.4966519669409974</v>
      </c>
      <c r="AA195">
        <f t="shared" ref="AA195:AA253" si="48">LN(L195/L194)*100</f>
        <v>-0.11108612553016374</v>
      </c>
      <c r="AB195">
        <f t="shared" si="37"/>
        <v>0.18999999999999995</v>
      </c>
      <c r="AC195">
        <f t="shared" si="38"/>
        <v>0.16199999999999992</v>
      </c>
    </row>
    <row r="196" spans="1:29" x14ac:dyDescent="0.2">
      <c r="A196" s="1">
        <v>43190</v>
      </c>
      <c r="B196">
        <v>59.939148073022302</v>
      </c>
      <c r="C196">
        <v>98.4</v>
      </c>
      <c r="D196">
        <v>102.98136641000001</v>
      </c>
      <c r="E196">
        <v>112</v>
      </c>
      <c r="F196">
        <v>6024.4737089999999</v>
      </c>
      <c r="G196">
        <v>8364.2760300000009</v>
      </c>
      <c r="H196">
        <v>202360.28931197</v>
      </c>
      <c r="I196">
        <v>313053</v>
      </c>
      <c r="J196">
        <v>7979.83</v>
      </c>
      <c r="K196">
        <v>52.067599999999999</v>
      </c>
      <c r="L196">
        <v>70224.170612679998</v>
      </c>
      <c r="M196">
        <v>1.7</v>
      </c>
      <c r="N196">
        <v>2.6019999999999999</v>
      </c>
      <c r="O196">
        <v>0.305498981670073</v>
      </c>
      <c r="P196">
        <v>-26.437640029872998</v>
      </c>
      <c r="Q196">
        <f t="shared" ref="Q196:Q253" si="49">LN(B196/B195)*100</f>
        <v>0.305033281762354</v>
      </c>
      <c r="R196">
        <f t="shared" si="39"/>
        <v>0.50942545217430935</v>
      </c>
      <c r="S196">
        <f t="shared" si="40"/>
        <v>5.5080692863509464</v>
      </c>
      <c r="T196">
        <f t="shared" si="41"/>
        <v>0</v>
      </c>
      <c r="U196">
        <f t="shared" si="42"/>
        <v>14.224020817196447</v>
      </c>
      <c r="V196">
        <f t="shared" si="43"/>
        <v>7.4697341192980451</v>
      </c>
      <c r="W196">
        <f t="shared" si="44"/>
        <v>12.526510307920189</v>
      </c>
      <c r="X196">
        <f t="shared" si="45"/>
        <v>30.74066329476549</v>
      </c>
      <c r="Y196">
        <f t="shared" si="46"/>
        <v>-6.0237762993512867</v>
      </c>
      <c r="Z196">
        <f t="shared" si="47"/>
        <v>0.54307559726180266</v>
      </c>
      <c r="AA196">
        <f t="shared" si="48"/>
        <v>2.0091411168257642</v>
      </c>
      <c r="AB196">
        <f t="shared" ref="AB196:AB253" si="50">M196-M195</f>
        <v>7.0000000000000062E-2</v>
      </c>
      <c r="AC196">
        <f t="shared" ref="AC196:AC253" si="51">N196-N195</f>
        <v>2.4000000000000021E-2</v>
      </c>
    </row>
    <row r="197" spans="1:29" x14ac:dyDescent="0.2">
      <c r="A197" s="1">
        <v>43220</v>
      </c>
      <c r="B197">
        <v>60.365111561866101</v>
      </c>
      <c r="C197">
        <v>98.8</v>
      </c>
      <c r="D197">
        <v>98.299933010000004</v>
      </c>
      <c r="E197">
        <v>112.1</v>
      </c>
      <c r="F197">
        <v>5481.9736169999996</v>
      </c>
      <c r="G197">
        <v>9180.8137060000008</v>
      </c>
      <c r="H197">
        <v>307557.55721110001</v>
      </c>
      <c r="I197">
        <v>261243</v>
      </c>
      <c r="J197">
        <v>7819.25</v>
      </c>
      <c r="K197">
        <v>52.098599999999998</v>
      </c>
      <c r="L197">
        <v>71619.057968499998</v>
      </c>
      <c r="M197">
        <v>1.84</v>
      </c>
      <c r="N197">
        <v>2.573</v>
      </c>
      <c r="O197" s="2">
        <v>0.71065989847715105</v>
      </c>
      <c r="P197">
        <v>-25.2449133383572</v>
      </c>
      <c r="Q197">
        <f t="shared" si="49"/>
        <v>0.70814661127837342</v>
      </c>
      <c r="R197">
        <f t="shared" si="39"/>
        <v>0.40568006956142477</v>
      </c>
      <c r="S197">
        <f t="shared" si="40"/>
        <v>-4.6524717555277713</v>
      </c>
      <c r="T197">
        <f t="shared" si="41"/>
        <v>8.9245878301956974E-2</v>
      </c>
      <c r="U197">
        <f t="shared" si="42"/>
        <v>-9.4364939148660767</v>
      </c>
      <c r="V197">
        <f t="shared" si="43"/>
        <v>9.3146056528108119</v>
      </c>
      <c r="W197">
        <f t="shared" si="44"/>
        <v>41.861252854102027</v>
      </c>
      <c r="X197">
        <f t="shared" si="45"/>
        <v>-18.092149661741118</v>
      </c>
      <c r="Y197">
        <f t="shared" si="46"/>
        <v>-2.0328465947282899</v>
      </c>
      <c r="Z197">
        <f t="shared" si="47"/>
        <v>5.9520268407953429E-2</v>
      </c>
      <c r="AA197">
        <f t="shared" si="48"/>
        <v>1.9668648800964534</v>
      </c>
      <c r="AB197">
        <f t="shared" si="50"/>
        <v>0.14000000000000012</v>
      </c>
      <c r="AC197">
        <f t="shared" si="51"/>
        <v>-2.8999999999999915E-2</v>
      </c>
    </row>
    <row r="198" spans="1:29" x14ac:dyDescent="0.2">
      <c r="A198" s="1">
        <v>43251</v>
      </c>
      <c r="B198">
        <v>60.669371196754497</v>
      </c>
      <c r="C198">
        <v>99</v>
      </c>
      <c r="D198">
        <v>97.969217979999996</v>
      </c>
      <c r="E198">
        <v>112.5</v>
      </c>
      <c r="F198">
        <v>6091.8900460000004</v>
      </c>
      <c r="G198">
        <v>9972.3865519999999</v>
      </c>
      <c r="H198">
        <v>258991.69624624</v>
      </c>
      <c r="I198">
        <v>291865</v>
      </c>
      <c r="J198">
        <v>7497.17</v>
      </c>
      <c r="K198">
        <v>52.194800000000001</v>
      </c>
      <c r="L198">
        <v>71226.656812469999</v>
      </c>
      <c r="M198">
        <v>1.89</v>
      </c>
      <c r="N198">
        <v>2.7170000000000001</v>
      </c>
      <c r="O198" s="2">
        <v>0.50403225806451901</v>
      </c>
      <c r="P198">
        <v>-24.868123587038401</v>
      </c>
      <c r="Q198">
        <f t="shared" si="49"/>
        <v>0.50276626769649524</v>
      </c>
      <c r="R198">
        <f t="shared" si="39"/>
        <v>0.20222453807678706</v>
      </c>
      <c r="S198">
        <f t="shared" si="40"/>
        <v>-0.33700185824079032</v>
      </c>
      <c r="T198">
        <f t="shared" si="41"/>
        <v>0.35618915663607498</v>
      </c>
      <c r="U198">
        <f t="shared" si="42"/>
        <v>10.549320074402008</v>
      </c>
      <c r="V198">
        <f t="shared" si="43"/>
        <v>8.2704088946468168</v>
      </c>
      <c r="W198">
        <f t="shared" si="44"/>
        <v>-17.186624729299705</v>
      </c>
      <c r="X198">
        <f t="shared" si="45"/>
        <v>11.084035793258703</v>
      </c>
      <c r="Y198">
        <f t="shared" si="46"/>
        <v>-4.2063026028575639</v>
      </c>
      <c r="Z198">
        <f t="shared" si="47"/>
        <v>0.18447960711397643</v>
      </c>
      <c r="AA198">
        <f t="shared" si="48"/>
        <v>-0.54940695095690595</v>
      </c>
      <c r="AB198">
        <f t="shared" si="50"/>
        <v>4.9999999999999822E-2</v>
      </c>
      <c r="AC198">
        <f t="shared" si="51"/>
        <v>0.14400000000000013</v>
      </c>
    </row>
    <row r="199" spans="1:29" x14ac:dyDescent="0.2">
      <c r="A199" s="1">
        <v>43281</v>
      </c>
      <c r="B199">
        <v>60.912778904665302</v>
      </c>
      <c r="C199">
        <v>99.4</v>
      </c>
      <c r="D199">
        <v>101.08445833</v>
      </c>
      <c r="E199">
        <v>112</v>
      </c>
      <c r="F199">
        <v>5916.4904180000003</v>
      </c>
      <c r="G199">
        <v>9469.4553240000005</v>
      </c>
      <c r="H199">
        <v>224198.71456419001</v>
      </c>
      <c r="I199">
        <v>278487</v>
      </c>
      <c r="J199">
        <v>7193.68</v>
      </c>
      <c r="K199">
        <v>53.047600000000003</v>
      </c>
      <c r="L199">
        <v>69785.811353180005</v>
      </c>
      <c r="M199">
        <v>1.89</v>
      </c>
      <c r="N199">
        <v>2.5739999999999998</v>
      </c>
      <c r="O199" s="2">
        <v>0.401203610832496</v>
      </c>
      <c r="P199">
        <v>-24.509803921568601</v>
      </c>
      <c r="Q199">
        <f t="shared" si="49"/>
        <v>0.40040093533830662</v>
      </c>
      <c r="R199">
        <f t="shared" si="39"/>
        <v>0.40322635279384511</v>
      </c>
      <c r="S199">
        <f t="shared" si="40"/>
        <v>3.1303061407073423</v>
      </c>
      <c r="T199">
        <f t="shared" si="41"/>
        <v>-0.44543503493803088</v>
      </c>
      <c r="U199">
        <f t="shared" si="42"/>
        <v>-2.9214947650833301</v>
      </c>
      <c r="V199">
        <f t="shared" si="43"/>
        <v>-5.1748539049693063</v>
      </c>
      <c r="W199">
        <f t="shared" si="44"/>
        <v>-14.426322317221299</v>
      </c>
      <c r="X199">
        <f t="shared" si="45"/>
        <v>-4.6919986951952204</v>
      </c>
      <c r="Y199">
        <f t="shared" si="46"/>
        <v>-4.1322753229066791</v>
      </c>
      <c r="Z199">
        <f t="shared" si="47"/>
        <v>1.6206750629047952</v>
      </c>
      <c r="AA199">
        <f t="shared" si="48"/>
        <v>-2.0436428421157973</v>
      </c>
      <c r="AB199">
        <f t="shared" si="50"/>
        <v>0</v>
      </c>
      <c r="AC199">
        <f t="shared" si="51"/>
        <v>-0.14300000000000024</v>
      </c>
    </row>
    <row r="200" spans="1:29" x14ac:dyDescent="0.2">
      <c r="A200" s="1">
        <v>43312</v>
      </c>
      <c r="B200">
        <v>61.277890466531403</v>
      </c>
      <c r="C200">
        <v>100.2</v>
      </c>
      <c r="D200">
        <v>101.16765241</v>
      </c>
      <c r="E200">
        <v>112.1</v>
      </c>
      <c r="F200">
        <v>5966.5077950000004</v>
      </c>
      <c r="G200">
        <v>9982.7304800000002</v>
      </c>
      <c r="H200">
        <v>241743.46985794001</v>
      </c>
      <c r="I200">
        <v>328126</v>
      </c>
      <c r="J200">
        <v>7672</v>
      </c>
      <c r="K200">
        <v>53.432899999999997</v>
      </c>
      <c r="L200">
        <v>69983.993048350007</v>
      </c>
      <c r="M200">
        <v>1.99</v>
      </c>
      <c r="N200">
        <v>3.0710000000000002</v>
      </c>
      <c r="O200" s="2">
        <v>0.59940059940058898</v>
      </c>
      <c r="P200">
        <v>-24</v>
      </c>
      <c r="Q200">
        <f t="shared" si="49"/>
        <v>0.59761134033412866</v>
      </c>
      <c r="R200">
        <f t="shared" si="39"/>
        <v>0.80160749882361249</v>
      </c>
      <c r="S200">
        <f t="shared" si="40"/>
        <v>8.2267704784629539E-2</v>
      </c>
      <c r="T200">
        <f t="shared" si="41"/>
        <v>8.9245878301956974E-2</v>
      </c>
      <c r="U200">
        <f t="shared" si="42"/>
        <v>0.84183589852078866</v>
      </c>
      <c r="V200">
        <f t="shared" si="43"/>
        <v>5.2785258494622704</v>
      </c>
      <c r="W200">
        <f t="shared" si="44"/>
        <v>7.534434481751723</v>
      </c>
      <c r="X200">
        <f t="shared" si="45"/>
        <v>16.402630131798205</v>
      </c>
      <c r="Y200">
        <f t="shared" si="46"/>
        <v>6.4374474809408024</v>
      </c>
      <c r="Z200">
        <f t="shared" si="47"/>
        <v>0.7237037423062409</v>
      </c>
      <c r="AA200">
        <f t="shared" si="48"/>
        <v>0.28358317997562782</v>
      </c>
      <c r="AB200">
        <f t="shared" si="50"/>
        <v>0.10000000000000009</v>
      </c>
      <c r="AC200">
        <f t="shared" si="51"/>
        <v>0.49700000000000033</v>
      </c>
    </row>
    <row r="201" spans="1:29" x14ac:dyDescent="0.2">
      <c r="A201" s="1">
        <v>43343</v>
      </c>
      <c r="B201">
        <v>61.460446247464503</v>
      </c>
      <c r="C201">
        <v>101.1</v>
      </c>
      <c r="D201">
        <v>102.66928554</v>
      </c>
      <c r="E201">
        <v>112.4</v>
      </c>
      <c r="F201">
        <v>6216.2315760000001</v>
      </c>
      <c r="G201">
        <v>9814.7895700000008</v>
      </c>
      <c r="H201">
        <v>256875.11010307999</v>
      </c>
      <c r="I201">
        <v>259462</v>
      </c>
      <c r="J201">
        <v>7855.71</v>
      </c>
      <c r="K201">
        <v>53.273499999999999</v>
      </c>
      <c r="L201">
        <v>68933.336842350007</v>
      </c>
      <c r="M201">
        <v>2.0699999999999998</v>
      </c>
      <c r="N201">
        <v>3.2410000000000001</v>
      </c>
      <c r="O201" s="2">
        <v>0.29791459781530399</v>
      </c>
      <c r="P201">
        <v>-23.888470233609599</v>
      </c>
      <c r="Q201">
        <f t="shared" si="49"/>
        <v>0.29747171167435393</v>
      </c>
      <c r="R201">
        <f t="shared" si="39"/>
        <v>0.8941937375661213</v>
      </c>
      <c r="S201">
        <f t="shared" si="40"/>
        <v>1.4733936946470718</v>
      </c>
      <c r="T201">
        <f t="shared" si="41"/>
        <v>0.26726073814764778</v>
      </c>
      <c r="U201">
        <f t="shared" si="42"/>
        <v>4.1002069909862993</v>
      </c>
      <c r="V201">
        <f t="shared" si="43"/>
        <v>-1.6966260228036729</v>
      </c>
      <c r="W201">
        <f t="shared" si="44"/>
        <v>6.071289186998154</v>
      </c>
      <c r="X201">
        <f t="shared" si="45"/>
        <v>-23.478742452985998</v>
      </c>
      <c r="Y201">
        <f t="shared" si="46"/>
        <v>2.3663318329387009</v>
      </c>
      <c r="Z201">
        <f t="shared" si="47"/>
        <v>-0.29876393274791962</v>
      </c>
      <c r="AA201">
        <f t="shared" si="48"/>
        <v>-1.5126640291702069</v>
      </c>
      <c r="AB201">
        <f t="shared" si="50"/>
        <v>7.9999999999999849E-2</v>
      </c>
      <c r="AC201">
        <f t="shared" si="51"/>
        <v>0.16999999999999993</v>
      </c>
    </row>
    <row r="202" spans="1:29" x14ac:dyDescent="0.2">
      <c r="A202" s="1">
        <v>43373</v>
      </c>
      <c r="B202">
        <v>61.764705882352899</v>
      </c>
      <c r="C202">
        <v>102.1</v>
      </c>
      <c r="D202">
        <v>98.304293040000005</v>
      </c>
      <c r="E202">
        <v>112.4</v>
      </c>
      <c r="F202">
        <v>6052.7794780000004</v>
      </c>
      <c r="G202">
        <v>10076.42203</v>
      </c>
      <c r="H202">
        <v>202350.82825706</v>
      </c>
      <c r="I202">
        <v>298598</v>
      </c>
      <c r="J202">
        <v>7276.82</v>
      </c>
      <c r="K202">
        <v>53.941899999999997</v>
      </c>
      <c r="L202">
        <v>68495.531307879995</v>
      </c>
      <c r="M202">
        <v>2.15</v>
      </c>
      <c r="N202">
        <v>3.3092670800000001</v>
      </c>
      <c r="O202" s="2">
        <v>0.495049504950481</v>
      </c>
      <c r="P202">
        <v>-23.338368580060401</v>
      </c>
      <c r="Q202">
        <f t="shared" si="49"/>
        <v>0.4938281640581913</v>
      </c>
      <c r="R202">
        <f t="shared" si="39"/>
        <v>0.98425991441941119</v>
      </c>
      <c r="S202">
        <f t="shared" si="40"/>
        <v>-4.34453034488814</v>
      </c>
      <c r="T202">
        <f t="shared" si="41"/>
        <v>0</v>
      </c>
      <c r="U202">
        <f t="shared" si="42"/>
        <v>-2.6646282803737349</v>
      </c>
      <c r="V202">
        <f t="shared" si="43"/>
        <v>2.6307854424306205</v>
      </c>
      <c r="W202">
        <f t="shared" si="44"/>
        <v>-23.858704937172476</v>
      </c>
      <c r="X202">
        <f t="shared" si="45"/>
        <v>14.048793072858343</v>
      </c>
      <c r="Y202">
        <f t="shared" si="46"/>
        <v>-7.6546702319414166</v>
      </c>
      <c r="Z202">
        <f t="shared" si="47"/>
        <v>1.2468519621646381</v>
      </c>
      <c r="AA202">
        <f t="shared" si="48"/>
        <v>-0.63713981117798613</v>
      </c>
      <c r="AB202">
        <f t="shared" si="50"/>
        <v>8.0000000000000071E-2</v>
      </c>
      <c r="AC202">
        <f t="shared" si="51"/>
        <v>6.8267080000000036E-2</v>
      </c>
    </row>
    <row r="203" spans="1:29" x14ac:dyDescent="0.2">
      <c r="A203" s="1">
        <v>43404</v>
      </c>
      <c r="B203">
        <v>61.764705882352899</v>
      </c>
      <c r="C203">
        <v>102.3</v>
      </c>
      <c r="D203">
        <v>103.54196591</v>
      </c>
      <c r="E203">
        <v>112.7</v>
      </c>
      <c r="F203">
        <v>6308.8445869999996</v>
      </c>
      <c r="G203">
        <v>10724.291248</v>
      </c>
      <c r="H203">
        <v>246761.63544822001</v>
      </c>
      <c r="I203">
        <v>306627</v>
      </c>
      <c r="J203">
        <v>7140.29</v>
      </c>
      <c r="K203">
        <v>54.008600000000001</v>
      </c>
      <c r="L203">
        <v>69304.302252769994</v>
      </c>
      <c r="M203">
        <v>2.29</v>
      </c>
      <c r="N203">
        <v>3.5618009800000001</v>
      </c>
      <c r="O203">
        <v>0</v>
      </c>
      <c r="P203">
        <v>-23.741547708489801</v>
      </c>
      <c r="Q203">
        <f t="shared" si="49"/>
        <v>0</v>
      </c>
      <c r="R203">
        <f t="shared" si="39"/>
        <v>0.1956947786960947</v>
      </c>
      <c r="S203">
        <f t="shared" si="40"/>
        <v>5.1909299217325371</v>
      </c>
      <c r="T203">
        <f t="shared" si="41"/>
        <v>0.26654835861398807</v>
      </c>
      <c r="U203">
        <f t="shared" si="42"/>
        <v>4.1434967151953543</v>
      </c>
      <c r="V203">
        <f t="shared" si="43"/>
        <v>6.2313136238182025</v>
      </c>
      <c r="W203">
        <f t="shared" si="44"/>
        <v>19.841986750337643</v>
      </c>
      <c r="X203">
        <f t="shared" si="45"/>
        <v>2.6533838023722738</v>
      </c>
      <c r="Y203">
        <f t="shared" si="46"/>
        <v>-1.8940561817935866</v>
      </c>
      <c r="Z203">
        <f t="shared" si="47"/>
        <v>0.12357517285800249</v>
      </c>
      <c r="AA203">
        <f t="shared" si="48"/>
        <v>1.1738479079548778</v>
      </c>
      <c r="AB203">
        <f t="shared" si="50"/>
        <v>0.14000000000000012</v>
      </c>
      <c r="AC203">
        <f t="shared" si="51"/>
        <v>0.25253389999999998</v>
      </c>
    </row>
    <row r="204" spans="1:29" x14ac:dyDescent="0.2">
      <c r="A204" s="1">
        <v>43434</v>
      </c>
      <c r="B204">
        <v>61.399594320486798</v>
      </c>
      <c r="C204">
        <v>102</v>
      </c>
      <c r="D204">
        <v>103.97958997000001</v>
      </c>
      <c r="E204">
        <v>112.6</v>
      </c>
      <c r="F204">
        <v>5636.4649200000003</v>
      </c>
      <c r="G204">
        <v>9710.6429939999998</v>
      </c>
      <c r="H204">
        <v>259701.99869352</v>
      </c>
      <c r="I204">
        <v>298820</v>
      </c>
      <c r="J204">
        <v>7367.85</v>
      </c>
      <c r="K204">
        <v>52.808300000000003</v>
      </c>
      <c r="L204">
        <v>71721.793031210007</v>
      </c>
      <c r="M204">
        <v>2.3199999999999998</v>
      </c>
      <c r="N204">
        <v>4.5212211499999997</v>
      </c>
      <c r="O204">
        <v>-0.59113300492609899</v>
      </c>
      <c r="P204">
        <v>-23.6184708554125</v>
      </c>
      <c r="Q204">
        <f t="shared" si="49"/>
        <v>-0.5928871122278363</v>
      </c>
      <c r="R204">
        <f t="shared" si="39"/>
        <v>-0.29368596733097135</v>
      </c>
      <c r="S204">
        <f t="shared" si="40"/>
        <v>0.42176313382374442</v>
      </c>
      <c r="T204">
        <f t="shared" si="41"/>
        <v>-8.8770534014065899E-2</v>
      </c>
      <c r="U204">
        <f t="shared" si="42"/>
        <v>-11.269546978318591</v>
      </c>
      <c r="V204">
        <f t="shared" si="43"/>
        <v>-9.9288878643635474</v>
      </c>
      <c r="W204">
        <f t="shared" si="44"/>
        <v>5.1111982794857092</v>
      </c>
      <c r="X204">
        <f t="shared" si="45"/>
        <v>-2.5790639759799099</v>
      </c>
      <c r="Y204">
        <f t="shared" si="46"/>
        <v>3.1372548666409559</v>
      </c>
      <c r="Z204">
        <f t="shared" si="47"/>
        <v>-2.2474917815360254</v>
      </c>
      <c r="AA204">
        <f t="shared" si="48"/>
        <v>3.428766302116188</v>
      </c>
      <c r="AB204">
        <f t="shared" si="50"/>
        <v>2.9999999999999805E-2</v>
      </c>
      <c r="AC204">
        <f t="shared" si="51"/>
        <v>0.95942016999999957</v>
      </c>
    </row>
    <row r="205" spans="1:29" x14ac:dyDescent="0.2">
      <c r="A205" s="1">
        <v>43465</v>
      </c>
      <c r="B205">
        <v>61.095334685598303</v>
      </c>
      <c r="C205">
        <v>101.4</v>
      </c>
      <c r="D205">
        <v>96.689222060000006</v>
      </c>
      <c r="E205">
        <v>112.1</v>
      </c>
      <c r="F205">
        <v>4729.8519450000003</v>
      </c>
      <c r="G205">
        <v>8900.0883229999999</v>
      </c>
      <c r="H205">
        <v>232209.43495009001</v>
      </c>
      <c r="I205">
        <v>313251</v>
      </c>
      <c r="J205">
        <v>7466.02</v>
      </c>
      <c r="K205">
        <v>52.769100000000002</v>
      </c>
      <c r="L205">
        <v>73762.054938770001</v>
      </c>
      <c r="M205">
        <v>2.4</v>
      </c>
      <c r="N205">
        <v>4.1712506999999999</v>
      </c>
      <c r="O205">
        <v>-0.49554013875124098</v>
      </c>
      <c r="P205">
        <v>-23.8817285822592</v>
      </c>
      <c r="Q205">
        <f t="shared" si="49"/>
        <v>-0.49677201019354489</v>
      </c>
      <c r="R205">
        <f t="shared" si="39"/>
        <v>-0.58997221271882705</v>
      </c>
      <c r="S205">
        <f t="shared" si="40"/>
        <v>-7.2692690843317962</v>
      </c>
      <c r="T205">
        <f t="shared" si="41"/>
        <v>-0.44503856274758036</v>
      </c>
      <c r="U205">
        <f t="shared" si="42"/>
        <v>-17.536318101723992</v>
      </c>
      <c r="V205">
        <f t="shared" si="43"/>
        <v>-8.7161299262793985</v>
      </c>
      <c r="W205">
        <f t="shared" si="44"/>
        <v>-11.189511350375446</v>
      </c>
      <c r="X205">
        <f t="shared" si="45"/>
        <v>4.7163400686531221</v>
      </c>
      <c r="Y205">
        <f t="shared" si="46"/>
        <v>1.323611885982845</v>
      </c>
      <c r="Z205">
        <f t="shared" si="47"/>
        <v>-7.4258320059672242E-2</v>
      </c>
      <c r="AA205">
        <f t="shared" si="48"/>
        <v>2.8049789799612812</v>
      </c>
      <c r="AB205">
        <f t="shared" si="50"/>
        <v>8.0000000000000071E-2</v>
      </c>
      <c r="AC205">
        <f t="shared" si="51"/>
        <v>-0.34997044999999982</v>
      </c>
    </row>
    <row r="206" spans="1:29" x14ac:dyDescent="0.2">
      <c r="A206" s="1">
        <v>43496</v>
      </c>
      <c r="B206">
        <v>60.608519269776799</v>
      </c>
      <c r="C206">
        <v>101.5</v>
      </c>
      <c r="D206">
        <v>99.110122000000004</v>
      </c>
      <c r="E206">
        <v>112.8</v>
      </c>
      <c r="F206">
        <v>5293.0968469999998</v>
      </c>
      <c r="G206">
        <v>9565.3091089999998</v>
      </c>
      <c r="H206">
        <v>256741.79</v>
      </c>
      <c r="I206">
        <v>212205</v>
      </c>
      <c r="J206">
        <v>8007.48</v>
      </c>
      <c r="K206">
        <v>52.4679</v>
      </c>
      <c r="L206">
        <v>72449.228889089994</v>
      </c>
      <c r="M206">
        <v>2.36</v>
      </c>
      <c r="N206">
        <v>4.7283202099999997</v>
      </c>
      <c r="O206">
        <v>-0.79681274900398202</v>
      </c>
      <c r="P206">
        <v>1.8404907975460101</v>
      </c>
      <c r="Q206">
        <f t="shared" si="49"/>
        <v>-0.80000426670763758</v>
      </c>
      <c r="R206">
        <f t="shared" si="39"/>
        <v>9.8570732475912817E-2</v>
      </c>
      <c r="S206">
        <f t="shared" si="40"/>
        <v>2.4729636623377891</v>
      </c>
      <c r="T206">
        <f t="shared" si="41"/>
        <v>0.62250089858442337</v>
      </c>
      <c r="U206">
        <f t="shared" si="42"/>
        <v>11.250958914797252</v>
      </c>
      <c r="V206">
        <f t="shared" si="43"/>
        <v>7.2081718423986194</v>
      </c>
      <c r="W206">
        <f t="shared" si="44"/>
        <v>10.043117036815005</v>
      </c>
      <c r="X206">
        <f t="shared" si="45"/>
        <v>-38.945199753046275</v>
      </c>
      <c r="Y206">
        <f t="shared" si="46"/>
        <v>7.0014045540199392</v>
      </c>
      <c r="Z206">
        <f t="shared" si="47"/>
        <v>-0.57242380996947939</v>
      </c>
      <c r="AA206">
        <f t="shared" si="48"/>
        <v>-1.795841330194857</v>
      </c>
      <c r="AB206">
        <f t="shared" si="50"/>
        <v>-4.0000000000000036E-2</v>
      </c>
      <c r="AC206">
        <f t="shared" si="51"/>
        <v>0.55706950999999982</v>
      </c>
    </row>
    <row r="207" spans="1:29" x14ac:dyDescent="0.2">
      <c r="A207" s="1">
        <v>43524</v>
      </c>
      <c r="B207">
        <v>60.365111561866101</v>
      </c>
      <c r="C207">
        <v>101.6</v>
      </c>
      <c r="D207">
        <v>96.6191417</v>
      </c>
      <c r="E207">
        <v>112.9</v>
      </c>
      <c r="F207">
        <v>5251.6246680000004</v>
      </c>
      <c r="G207">
        <v>7984.9496019999997</v>
      </c>
      <c r="H207">
        <v>202085.35</v>
      </c>
      <c r="I207">
        <v>278458</v>
      </c>
      <c r="J207">
        <v>7705.49</v>
      </c>
      <c r="K207">
        <v>52.190100000000001</v>
      </c>
      <c r="L207">
        <v>73622.265044490006</v>
      </c>
      <c r="M207">
        <v>2.4</v>
      </c>
      <c r="N207">
        <v>4.8640172100000001</v>
      </c>
      <c r="O207">
        <v>-0.40160642570281002</v>
      </c>
      <c r="P207">
        <v>1.0183299389002101</v>
      </c>
      <c r="Q207">
        <f t="shared" si="49"/>
        <v>-0.40241502997245993</v>
      </c>
      <c r="R207">
        <f t="shared" si="39"/>
        <v>9.8473666253933806E-2</v>
      </c>
      <c r="S207">
        <f t="shared" si="40"/>
        <v>-2.5454699540543868</v>
      </c>
      <c r="T207">
        <f t="shared" si="41"/>
        <v>8.8613209165779819E-2</v>
      </c>
      <c r="U207">
        <f t="shared" si="42"/>
        <v>-0.7866000591505613</v>
      </c>
      <c r="V207">
        <f t="shared" si="43"/>
        <v>-18.05844489825855</v>
      </c>
      <c r="W207">
        <f t="shared" si="44"/>
        <v>-23.938073875120736</v>
      </c>
      <c r="X207">
        <f t="shared" si="45"/>
        <v>27.171445151621537</v>
      </c>
      <c r="Y207">
        <f t="shared" si="46"/>
        <v>-3.8443043021475707</v>
      </c>
      <c r="Z207">
        <f t="shared" si="47"/>
        <v>-0.53087322981095375</v>
      </c>
      <c r="AA207">
        <f t="shared" si="48"/>
        <v>1.6061468820823603</v>
      </c>
      <c r="AB207">
        <f t="shared" si="50"/>
        <v>4.0000000000000036E-2</v>
      </c>
      <c r="AC207">
        <f t="shared" si="51"/>
        <v>0.1356970000000004</v>
      </c>
    </row>
    <row r="208" spans="1:29" x14ac:dyDescent="0.2">
      <c r="A208" s="1">
        <v>43555</v>
      </c>
      <c r="B208">
        <v>60.669371196754497</v>
      </c>
      <c r="C208">
        <v>101.7</v>
      </c>
      <c r="D208">
        <v>103.50214617</v>
      </c>
      <c r="E208">
        <v>113.2</v>
      </c>
      <c r="F208">
        <v>6030.7975630000001</v>
      </c>
      <c r="G208">
        <v>9365.7973490000004</v>
      </c>
      <c r="H208">
        <v>228917.7</v>
      </c>
      <c r="I208">
        <v>287327</v>
      </c>
      <c r="J208">
        <v>7920.93</v>
      </c>
      <c r="K208">
        <v>52.413400000000003</v>
      </c>
      <c r="L208">
        <v>73689.517852489997</v>
      </c>
      <c r="M208">
        <v>2.35</v>
      </c>
      <c r="N208">
        <v>4.6131411699999996</v>
      </c>
      <c r="O208" s="2">
        <v>0.50403225806451901</v>
      </c>
      <c r="P208">
        <v>1.2182741116751199</v>
      </c>
      <c r="Q208">
        <f t="shared" si="49"/>
        <v>0.50276626769649524</v>
      </c>
      <c r="R208">
        <f t="shared" si="39"/>
        <v>9.8376791013274817E-2</v>
      </c>
      <c r="S208">
        <f t="shared" si="40"/>
        <v>6.8815472599646474</v>
      </c>
      <c r="T208">
        <f t="shared" si="41"/>
        <v>0.26536946134663014</v>
      </c>
      <c r="U208">
        <f t="shared" si="42"/>
        <v>13.834177852830393</v>
      </c>
      <c r="V208">
        <f t="shared" si="43"/>
        <v>15.950600358636258</v>
      </c>
      <c r="W208">
        <f t="shared" si="44"/>
        <v>12.467241739714202</v>
      </c>
      <c r="X208">
        <f t="shared" si="45"/>
        <v>3.1353699894096474</v>
      </c>
      <c r="Y208">
        <f t="shared" si="46"/>
        <v>2.7575561356936023</v>
      </c>
      <c r="Z208">
        <f t="shared" si="47"/>
        <v>0.42694620963600421</v>
      </c>
      <c r="AA208">
        <f t="shared" si="48"/>
        <v>9.1306766301746375E-2</v>
      </c>
      <c r="AB208">
        <f t="shared" si="50"/>
        <v>-4.9999999999999822E-2</v>
      </c>
      <c r="AC208">
        <f t="shared" si="51"/>
        <v>-0.25087604000000052</v>
      </c>
    </row>
    <row r="209" spans="1:29" x14ac:dyDescent="0.2">
      <c r="A209" s="1">
        <v>43585</v>
      </c>
      <c r="B209">
        <v>59.695740365111497</v>
      </c>
      <c r="C209">
        <v>102</v>
      </c>
      <c r="D209">
        <v>96.322029049999998</v>
      </c>
      <c r="E209">
        <v>113.3</v>
      </c>
      <c r="F209">
        <v>5652.2258169999996</v>
      </c>
      <c r="G209">
        <v>9451.1887069999993</v>
      </c>
      <c r="H209">
        <v>308675.89</v>
      </c>
      <c r="I209">
        <v>221804</v>
      </c>
      <c r="J209">
        <v>7952.72</v>
      </c>
      <c r="K209">
        <v>52.112200000000001</v>
      </c>
      <c r="L209">
        <v>75780.883196680006</v>
      </c>
      <c r="M209">
        <v>2.38</v>
      </c>
      <c r="N209">
        <v>4.4553333100000003</v>
      </c>
      <c r="O209">
        <v>-1.60481444333</v>
      </c>
      <c r="P209">
        <v>-1.1088709677419399</v>
      </c>
      <c r="Q209">
        <f t="shared" si="49"/>
        <v>-1.6178310396475173</v>
      </c>
      <c r="R209">
        <f t="shared" si="39"/>
        <v>0.29455102297567448</v>
      </c>
      <c r="S209">
        <f t="shared" si="40"/>
        <v>-7.1895301375395766</v>
      </c>
      <c r="T209">
        <f t="shared" si="41"/>
        <v>8.8300226487807762E-2</v>
      </c>
      <c r="U209">
        <f t="shared" si="42"/>
        <v>-6.4829850338257335</v>
      </c>
      <c r="V209">
        <f t="shared" si="43"/>
        <v>0.90760490461950294</v>
      </c>
      <c r="W209">
        <f t="shared" si="44"/>
        <v>29.892927642876373</v>
      </c>
      <c r="X209">
        <f t="shared" si="45"/>
        <v>-25.882683097056418</v>
      </c>
      <c r="Y209">
        <f t="shared" si="46"/>
        <v>0.40053853399647138</v>
      </c>
      <c r="Z209">
        <f t="shared" si="47"/>
        <v>-0.57631974115832763</v>
      </c>
      <c r="AA209">
        <f t="shared" si="48"/>
        <v>2.7985498427813491</v>
      </c>
      <c r="AB209">
        <f t="shared" si="50"/>
        <v>2.9999999999999805E-2</v>
      </c>
      <c r="AC209">
        <f t="shared" si="51"/>
        <v>-0.15780785999999924</v>
      </c>
    </row>
    <row r="210" spans="1:29" x14ac:dyDescent="0.2">
      <c r="A210" s="1">
        <v>43616</v>
      </c>
      <c r="B210">
        <v>59.391480730223101</v>
      </c>
      <c r="C210">
        <v>102.2</v>
      </c>
      <c r="D210">
        <v>93.798806999999996</v>
      </c>
      <c r="E210">
        <v>113.8</v>
      </c>
      <c r="F210">
        <v>6199.692344</v>
      </c>
      <c r="G210">
        <v>9848.9028560000006</v>
      </c>
      <c r="H210">
        <v>317236.08</v>
      </c>
      <c r="I210">
        <v>314672</v>
      </c>
      <c r="J210">
        <v>7970.02</v>
      </c>
      <c r="K210">
        <v>52.262</v>
      </c>
      <c r="L210">
        <v>75414.810154320003</v>
      </c>
      <c r="M210">
        <v>2.2999999999999998</v>
      </c>
      <c r="N210">
        <v>4.7230727100000003</v>
      </c>
      <c r="O210">
        <v>-0.50968399592251401</v>
      </c>
      <c r="P210">
        <v>-2.1063189568706102</v>
      </c>
      <c r="Q210">
        <f t="shared" si="49"/>
        <v>-0.51098731522699214</v>
      </c>
      <c r="R210">
        <f t="shared" si="39"/>
        <v>0.19588644853329715</v>
      </c>
      <c r="S210">
        <f t="shared" si="40"/>
        <v>-2.6544909675879444</v>
      </c>
      <c r="T210">
        <f t="shared" si="41"/>
        <v>0.44033536582699739</v>
      </c>
      <c r="U210">
        <f t="shared" si="42"/>
        <v>9.2450251392391554</v>
      </c>
      <c r="V210">
        <f t="shared" si="43"/>
        <v>4.1219541107148192</v>
      </c>
      <c r="W210">
        <f t="shared" si="44"/>
        <v>2.7354401822173999</v>
      </c>
      <c r="X210">
        <f t="shared" si="45"/>
        <v>34.973671746754306</v>
      </c>
      <c r="Y210">
        <f t="shared" si="46"/>
        <v>0.21729936942270806</v>
      </c>
      <c r="Z210">
        <f t="shared" si="47"/>
        <v>0.28704431335657132</v>
      </c>
      <c r="AA210">
        <f t="shared" si="48"/>
        <v>-0.48423833982791947</v>
      </c>
      <c r="AB210">
        <f t="shared" si="50"/>
        <v>-8.0000000000000071E-2</v>
      </c>
      <c r="AC210">
        <f t="shared" si="51"/>
        <v>0.26773939999999996</v>
      </c>
    </row>
    <row r="211" spans="1:29" x14ac:dyDescent="0.2">
      <c r="A211" s="1">
        <v>43646</v>
      </c>
      <c r="B211">
        <v>59.269776876267699</v>
      </c>
      <c r="C211">
        <v>102.1</v>
      </c>
      <c r="D211">
        <v>86.896873029999995</v>
      </c>
      <c r="E211">
        <v>113.9</v>
      </c>
      <c r="F211">
        <v>6149.8282049999998</v>
      </c>
      <c r="G211">
        <v>8785.6777290000009</v>
      </c>
      <c r="H211">
        <v>233886.18</v>
      </c>
      <c r="I211">
        <v>275724</v>
      </c>
      <c r="J211">
        <v>7999.71</v>
      </c>
      <c r="K211">
        <v>51.802900000000001</v>
      </c>
      <c r="L211">
        <v>76719.034090489993</v>
      </c>
      <c r="M211">
        <v>2.08</v>
      </c>
      <c r="N211">
        <v>4.4033097699999999</v>
      </c>
      <c r="O211">
        <v>-0.204918032786893</v>
      </c>
      <c r="P211">
        <v>-2.6973026973027001</v>
      </c>
      <c r="Q211">
        <f t="shared" si="49"/>
        <v>-0.20512827705578057</v>
      </c>
      <c r="R211">
        <f t="shared" si="39"/>
        <v>-9.7895259898427123E-2</v>
      </c>
      <c r="S211">
        <f t="shared" si="40"/>
        <v>-7.6430089301571673</v>
      </c>
      <c r="T211">
        <f t="shared" si="41"/>
        <v>8.7834876090595856E-2</v>
      </c>
      <c r="U211">
        <f t="shared" si="42"/>
        <v>-0.80755216024335474</v>
      </c>
      <c r="V211">
        <f t="shared" si="43"/>
        <v>-11.423719898086997</v>
      </c>
      <c r="W211">
        <f t="shared" si="44"/>
        <v>-30.481164179786479</v>
      </c>
      <c r="X211">
        <f t="shared" si="45"/>
        <v>-13.213046110273158</v>
      </c>
      <c r="Y211">
        <f t="shared" si="46"/>
        <v>0.37182888135250797</v>
      </c>
      <c r="Z211">
        <f t="shared" si="47"/>
        <v>-0.88233972933602023</v>
      </c>
      <c r="AA211">
        <f t="shared" si="48"/>
        <v>1.7146163563904446</v>
      </c>
      <c r="AB211">
        <f t="shared" si="50"/>
        <v>-0.21999999999999975</v>
      </c>
      <c r="AC211">
        <f t="shared" si="51"/>
        <v>-0.31976294000000038</v>
      </c>
    </row>
    <row r="212" spans="1:29" x14ac:dyDescent="0.2">
      <c r="A212" s="1">
        <v>43677</v>
      </c>
      <c r="B212">
        <v>58.782961460446202</v>
      </c>
      <c r="C212">
        <v>102.4</v>
      </c>
      <c r="D212">
        <v>52.333755580000002</v>
      </c>
      <c r="E212">
        <v>113.8</v>
      </c>
      <c r="F212">
        <v>6252.1079369999998</v>
      </c>
      <c r="G212">
        <v>9893.3454120000006</v>
      </c>
      <c r="H212">
        <v>264094.11</v>
      </c>
      <c r="I212">
        <v>339390</v>
      </c>
      <c r="J212">
        <v>8045.8</v>
      </c>
      <c r="K212">
        <v>51.142899999999997</v>
      </c>
      <c r="L212">
        <v>78085.52847859</v>
      </c>
      <c r="M212">
        <v>2.04</v>
      </c>
      <c r="N212">
        <v>4.1576450600000001</v>
      </c>
      <c r="O212">
        <v>-0.82135523613962802</v>
      </c>
      <c r="P212">
        <v>-4.0714995034756596</v>
      </c>
      <c r="Q212">
        <f t="shared" si="49"/>
        <v>-0.82474694300170015</v>
      </c>
      <c r="R212">
        <f t="shared" si="39"/>
        <v>0.29339874347875705</v>
      </c>
      <c r="S212">
        <f t="shared" si="40"/>
        <v>-50.708046302432685</v>
      </c>
      <c r="T212">
        <f t="shared" si="41"/>
        <v>-8.7834876090595787E-2</v>
      </c>
      <c r="U212">
        <f t="shared" si="42"/>
        <v>1.6494529523676142</v>
      </c>
      <c r="V212">
        <f t="shared" si="43"/>
        <v>11.873948569813956</v>
      </c>
      <c r="W212">
        <f t="shared" si="44"/>
        <v>12.147093013066858</v>
      </c>
      <c r="X212">
        <f t="shared" si="45"/>
        <v>20.774952322291863</v>
      </c>
      <c r="Y212">
        <f t="shared" si="46"/>
        <v>0.57449251240285604</v>
      </c>
      <c r="Z212">
        <f t="shared" si="47"/>
        <v>-1.2822456920482501</v>
      </c>
      <c r="AA212">
        <f t="shared" si="48"/>
        <v>1.7654904473534836</v>
      </c>
      <c r="AB212">
        <f t="shared" si="50"/>
        <v>-4.0000000000000036E-2</v>
      </c>
      <c r="AC212">
        <f t="shared" si="51"/>
        <v>-0.24566470999999979</v>
      </c>
    </row>
    <row r="213" spans="1:29" x14ac:dyDescent="0.2">
      <c r="A213" s="1">
        <v>43708</v>
      </c>
      <c r="B213">
        <v>59.087221095334698</v>
      </c>
      <c r="C213">
        <v>102.5</v>
      </c>
      <c r="D213">
        <v>79.663340340000005</v>
      </c>
      <c r="E213">
        <v>114.3</v>
      </c>
      <c r="F213">
        <v>6302.5814039999996</v>
      </c>
      <c r="G213">
        <v>9307.4543869999998</v>
      </c>
      <c r="H213">
        <v>279745</v>
      </c>
      <c r="I213">
        <v>282233</v>
      </c>
      <c r="J213">
        <v>7979.66</v>
      </c>
      <c r="K213">
        <v>52.054699999999997</v>
      </c>
      <c r="L213">
        <v>76777.860048910006</v>
      </c>
      <c r="M213">
        <v>1.95</v>
      </c>
      <c r="N213">
        <v>3.14456026</v>
      </c>
      <c r="O213" s="2">
        <v>0.517598343685303</v>
      </c>
      <c r="P213">
        <v>-3.8613861386138599</v>
      </c>
      <c r="Q213">
        <f t="shared" si="49"/>
        <v>0.51626340788077896</v>
      </c>
      <c r="R213">
        <f t="shared" si="39"/>
        <v>9.7608597305545886E-2</v>
      </c>
      <c r="S213">
        <f t="shared" si="40"/>
        <v>42.016792428203246</v>
      </c>
      <c r="T213">
        <f t="shared" si="41"/>
        <v>0.43840491085344491</v>
      </c>
      <c r="U213">
        <f t="shared" si="42"/>
        <v>0.80406193353166122</v>
      </c>
      <c r="V213">
        <f t="shared" si="43"/>
        <v>-6.1046724438587558</v>
      </c>
      <c r="W213">
        <f t="shared" si="44"/>
        <v>5.7572957035209509</v>
      </c>
      <c r="X213">
        <f t="shared" si="45"/>
        <v>-18.441691768292465</v>
      </c>
      <c r="Y213">
        <f t="shared" si="46"/>
        <v>-0.82544121090742129</v>
      </c>
      <c r="Z213">
        <f t="shared" si="47"/>
        <v>1.7671413441100989</v>
      </c>
      <c r="AA213">
        <f t="shared" si="48"/>
        <v>-1.6888426928437901</v>
      </c>
      <c r="AB213">
        <f t="shared" si="50"/>
        <v>-9.000000000000008E-2</v>
      </c>
      <c r="AC213">
        <f t="shared" si="51"/>
        <v>-1.0130848000000001</v>
      </c>
    </row>
    <row r="214" spans="1:29" x14ac:dyDescent="0.2">
      <c r="A214" s="1">
        <v>43738</v>
      </c>
      <c r="B214">
        <v>59.208924949290001</v>
      </c>
      <c r="C214">
        <v>102.6</v>
      </c>
      <c r="D214">
        <v>94.044937930000003</v>
      </c>
      <c r="E214">
        <v>114.7</v>
      </c>
      <c r="F214">
        <v>6079.8078949999999</v>
      </c>
      <c r="G214">
        <v>9488.5631140000005</v>
      </c>
      <c r="H214">
        <v>236528</v>
      </c>
      <c r="I214">
        <v>415085</v>
      </c>
      <c r="J214">
        <v>7779.07</v>
      </c>
      <c r="K214">
        <v>52.105200000000004</v>
      </c>
      <c r="L214">
        <v>78720.925898250003</v>
      </c>
      <c r="M214">
        <v>1.84</v>
      </c>
      <c r="N214">
        <v>3.00178134</v>
      </c>
      <c r="O214" s="2">
        <v>0.20597322348093799</v>
      </c>
      <c r="P214">
        <v>-4.13793103448275</v>
      </c>
      <c r="Q214">
        <f t="shared" si="49"/>
        <v>0.20576138946788325</v>
      </c>
      <c r="R214">
        <f t="shared" si="39"/>
        <v>9.751341582062914E-2</v>
      </c>
      <c r="S214">
        <f t="shared" si="40"/>
        <v>16.596322178203536</v>
      </c>
      <c r="T214">
        <f t="shared" si="41"/>
        <v>0.34934533345601265</v>
      </c>
      <c r="U214">
        <f t="shared" si="42"/>
        <v>-3.5986196879112811</v>
      </c>
      <c r="V214">
        <f t="shared" si="43"/>
        <v>1.9271564539471129</v>
      </c>
      <c r="W214">
        <f t="shared" si="44"/>
        <v>-16.781187977259169</v>
      </c>
      <c r="X214">
        <f t="shared" si="45"/>
        <v>38.575034761164183</v>
      </c>
      <c r="Y214">
        <f t="shared" si="46"/>
        <v>-2.5459010267656774</v>
      </c>
      <c r="Z214">
        <f t="shared" si="47"/>
        <v>9.6966306528479873E-2</v>
      </c>
      <c r="AA214">
        <f t="shared" si="48"/>
        <v>2.4992696614021428</v>
      </c>
      <c r="AB214">
        <f t="shared" si="50"/>
        <v>-0.10999999999999988</v>
      </c>
      <c r="AC214">
        <f t="shared" si="51"/>
        <v>-0.14277892000000003</v>
      </c>
    </row>
    <row r="215" spans="1:29" x14ac:dyDescent="0.2">
      <c r="A215" s="1">
        <v>43769</v>
      </c>
      <c r="B215">
        <v>58.782961460446202</v>
      </c>
      <c r="C215">
        <v>102.9</v>
      </c>
      <c r="D215">
        <v>101.46452896</v>
      </c>
      <c r="E215">
        <v>114.9</v>
      </c>
      <c r="F215">
        <v>6341.7278710000001</v>
      </c>
      <c r="G215">
        <v>9914.2755080000006</v>
      </c>
      <c r="H215">
        <v>261553</v>
      </c>
      <c r="I215">
        <v>310815</v>
      </c>
      <c r="J215">
        <v>7977.12</v>
      </c>
      <c r="K215">
        <v>51.504199999999997</v>
      </c>
      <c r="L215">
        <v>80997.33176293</v>
      </c>
      <c r="M215">
        <v>1.51</v>
      </c>
      <c r="N215">
        <v>2.92147523</v>
      </c>
      <c r="O215">
        <v>-0.71942446043164798</v>
      </c>
      <c r="P215">
        <v>-4.8275862068965401</v>
      </c>
      <c r="Q215">
        <f t="shared" si="49"/>
        <v>-0.72202479734867975</v>
      </c>
      <c r="R215">
        <f t="shared" si="39"/>
        <v>0.2919710103334846</v>
      </c>
      <c r="S215">
        <f t="shared" si="40"/>
        <v>7.5936537909794879</v>
      </c>
      <c r="T215">
        <f t="shared" si="41"/>
        <v>0.17421607193850733</v>
      </c>
      <c r="U215">
        <f t="shared" si="42"/>
        <v>4.2178166914501007</v>
      </c>
      <c r="V215">
        <f t="shared" si="43"/>
        <v>4.3888498383770012</v>
      </c>
      <c r="W215">
        <f t="shared" si="44"/>
        <v>10.057034567430735</v>
      </c>
      <c r="X215">
        <f t="shared" si="45"/>
        <v>-28.928543865804667</v>
      </c>
      <c r="Y215">
        <f t="shared" si="46"/>
        <v>2.5140650295099274</v>
      </c>
      <c r="Z215">
        <f t="shared" si="47"/>
        <v>-1.1601394097797437</v>
      </c>
      <c r="AA215">
        <f t="shared" si="48"/>
        <v>2.8507198337817159</v>
      </c>
      <c r="AB215">
        <f t="shared" si="50"/>
        <v>-0.33000000000000007</v>
      </c>
      <c r="AC215">
        <f t="shared" si="51"/>
        <v>-8.0306109999999986E-2</v>
      </c>
    </row>
    <row r="216" spans="1:29" x14ac:dyDescent="0.2">
      <c r="A216" s="1">
        <v>43799</v>
      </c>
      <c r="B216">
        <v>58.600405679513202</v>
      </c>
      <c r="C216">
        <v>103.2</v>
      </c>
      <c r="D216">
        <v>98.076266410000002</v>
      </c>
      <c r="E216">
        <v>115.2</v>
      </c>
      <c r="F216">
        <v>5622.867604</v>
      </c>
      <c r="G216">
        <v>9275.2087080000001</v>
      </c>
      <c r="H216">
        <v>304749</v>
      </c>
      <c r="I216">
        <v>365632</v>
      </c>
      <c r="J216">
        <v>7738.96</v>
      </c>
      <c r="K216">
        <v>50.726799999999997</v>
      </c>
      <c r="L216">
        <v>83872.475307910005</v>
      </c>
      <c r="M216">
        <v>1.56</v>
      </c>
      <c r="N216">
        <v>3.1417331399999999</v>
      </c>
      <c r="O216">
        <v>-0.31055900621117499</v>
      </c>
      <c r="P216">
        <v>-4.5589692765113901</v>
      </c>
      <c r="Q216">
        <f t="shared" si="49"/>
        <v>-0.31104224143913889</v>
      </c>
      <c r="R216">
        <f t="shared" si="39"/>
        <v>0.29112102074583129</v>
      </c>
      <c r="S216">
        <f t="shared" si="40"/>
        <v>-3.396386434803067</v>
      </c>
      <c r="T216">
        <f t="shared" si="41"/>
        <v>0.26075634070807696</v>
      </c>
      <c r="U216">
        <f t="shared" si="42"/>
        <v>-12.03094825818121</v>
      </c>
      <c r="V216">
        <f t="shared" si="43"/>
        <v>-6.6630578553895647</v>
      </c>
      <c r="W216">
        <f t="shared" si="44"/>
        <v>15.285154714477686</v>
      </c>
      <c r="X216">
        <f t="shared" si="45"/>
        <v>16.242948322484168</v>
      </c>
      <c r="Y216">
        <f t="shared" si="46"/>
        <v>-3.0310132416658626</v>
      </c>
      <c r="Z216">
        <f t="shared" si="47"/>
        <v>-1.5208987199348585</v>
      </c>
      <c r="AA216">
        <f t="shared" si="48"/>
        <v>3.488128125649232</v>
      </c>
      <c r="AB216">
        <f t="shared" si="50"/>
        <v>5.0000000000000044E-2</v>
      </c>
      <c r="AC216">
        <f t="shared" si="51"/>
        <v>0.22025790999999995</v>
      </c>
    </row>
    <row r="217" spans="1:29" x14ac:dyDescent="0.2">
      <c r="A217" s="1">
        <v>43830</v>
      </c>
      <c r="B217">
        <v>58.600405679513202</v>
      </c>
      <c r="C217">
        <v>103.8</v>
      </c>
      <c r="D217">
        <v>92.229742580000007</v>
      </c>
      <c r="E217">
        <v>115.6</v>
      </c>
      <c r="F217">
        <v>5750.6236859999999</v>
      </c>
      <c r="G217">
        <v>8712.4067350000005</v>
      </c>
      <c r="H217">
        <v>243286</v>
      </c>
      <c r="I217">
        <v>494389</v>
      </c>
      <c r="J217">
        <v>7815.26</v>
      </c>
      <c r="K217">
        <v>50.767099999999999</v>
      </c>
      <c r="L217">
        <v>88686.452542929997</v>
      </c>
      <c r="M217">
        <v>1.52</v>
      </c>
      <c r="N217">
        <v>3.3687478</v>
      </c>
      <c r="O217">
        <v>0</v>
      </c>
      <c r="P217">
        <v>-4.0836653386454103</v>
      </c>
      <c r="Q217">
        <f t="shared" si="49"/>
        <v>0</v>
      </c>
      <c r="R217">
        <f t="shared" si="39"/>
        <v>0.57971176843259142</v>
      </c>
      <c r="S217">
        <f t="shared" si="40"/>
        <v>-6.1462738503205498</v>
      </c>
      <c r="T217">
        <f t="shared" si="41"/>
        <v>0.34662079764861076</v>
      </c>
      <c r="U217">
        <f t="shared" si="42"/>
        <v>2.2466532463071709</v>
      </c>
      <c r="V217">
        <f t="shared" si="43"/>
        <v>-6.2597039155800989</v>
      </c>
      <c r="W217">
        <f t="shared" si="44"/>
        <v>-22.525078097301197</v>
      </c>
      <c r="X217">
        <f t="shared" si="45"/>
        <v>30.169529360302828</v>
      </c>
      <c r="Y217">
        <f t="shared" si="46"/>
        <v>0.98109210253069334</v>
      </c>
      <c r="Z217">
        <f t="shared" si="47"/>
        <v>7.9413643810990614E-2</v>
      </c>
      <c r="AA217">
        <f t="shared" si="48"/>
        <v>5.5809650012009691</v>
      </c>
      <c r="AB217">
        <f t="shared" si="50"/>
        <v>-4.0000000000000036E-2</v>
      </c>
      <c r="AC217">
        <f t="shared" si="51"/>
        <v>0.22701466000000003</v>
      </c>
    </row>
    <row r="218" spans="1:29" x14ac:dyDescent="0.2">
      <c r="A218" s="1">
        <v>43861</v>
      </c>
      <c r="B218">
        <v>58.478701825557799</v>
      </c>
      <c r="C218">
        <v>104.5</v>
      </c>
      <c r="D218">
        <v>95.737927979999995</v>
      </c>
      <c r="E218">
        <v>116.1</v>
      </c>
      <c r="F218">
        <v>5801.8938010000002</v>
      </c>
      <c r="G218">
        <v>9556.6881290000001</v>
      </c>
      <c r="H218">
        <v>294638</v>
      </c>
      <c r="I218">
        <v>271593</v>
      </c>
      <c r="J218">
        <v>7200.79</v>
      </c>
      <c r="K218">
        <v>50.8386</v>
      </c>
      <c r="L218">
        <v>87137.495137200007</v>
      </c>
      <c r="M218">
        <v>1.52</v>
      </c>
      <c r="N218">
        <v>2.1636000000000002</v>
      </c>
      <c r="O218">
        <v>-0.20768431983385999</v>
      </c>
      <c r="P218">
        <v>-3.5140562248995999</v>
      </c>
      <c r="Q218">
        <f t="shared" si="49"/>
        <v>-0.20790028278335465</v>
      </c>
      <c r="R218">
        <f t="shared" si="39"/>
        <v>0.67211006730773815</v>
      </c>
      <c r="S218">
        <f t="shared" si="40"/>
        <v>3.7331875396410563</v>
      </c>
      <c r="T218">
        <f t="shared" si="41"/>
        <v>0.43159324655687292</v>
      </c>
      <c r="U218">
        <f t="shared" si="42"/>
        <v>0.88760656133970195</v>
      </c>
      <c r="V218">
        <f t="shared" si="43"/>
        <v>9.2493165726877873</v>
      </c>
      <c r="W218">
        <f t="shared" si="44"/>
        <v>19.1509778164355</v>
      </c>
      <c r="X218">
        <f t="shared" si="45"/>
        <v>-59.901803454849542</v>
      </c>
      <c r="Y218">
        <f t="shared" si="46"/>
        <v>-8.1887490448644975</v>
      </c>
      <c r="Z218">
        <f t="shared" si="47"/>
        <v>0.14074015887325816</v>
      </c>
      <c r="AA218">
        <f t="shared" si="48"/>
        <v>-1.7619869193510524</v>
      </c>
      <c r="AB218">
        <f t="shared" si="50"/>
        <v>0</v>
      </c>
      <c r="AC218">
        <f t="shared" si="51"/>
        <v>-1.2051477999999998</v>
      </c>
    </row>
    <row r="219" spans="1:29" x14ac:dyDescent="0.2">
      <c r="A219" s="1">
        <v>43890</v>
      </c>
      <c r="B219">
        <v>58.539553752535497</v>
      </c>
      <c r="C219">
        <v>104.1</v>
      </c>
      <c r="D219">
        <v>96.832325710000006</v>
      </c>
      <c r="E219">
        <v>115.9</v>
      </c>
      <c r="F219">
        <v>5432.1745380000002</v>
      </c>
      <c r="G219">
        <v>7400.3462769999996</v>
      </c>
      <c r="H219">
        <v>206835</v>
      </c>
      <c r="I219">
        <v>244430</v>
      </c>
      <c r="J219">
        <v>6787.91</v>
      </c>
      <c r="K219">
        <v>50.744799999999998</v>
      </c>
      <c r="L219">
        <v>87335.889367729993</v>
      </c>
      <c r="M219">
        <v>1.25</v>
      </c>
      <c r="N219">
        <v>1.8608049200000001</v>
      </c>
      <c r="O219" s="2">
        <v>0.104058272632678</v>
      </c>
      <c r="P219">
        <v>-3.0241935483870899</v>
      </c>
      <c r="Q219">
        <f t="shared" si="49"/>
        <v>0.10400416954141545</v>
      </c>
      <c r="R219">
        <f t="shared" si="39"/>
        <v>-0.38350957839425376</v>
      </c>
      <c r="S219">
        <f t="shared" si="40"/>
        <v>1.1366340246677653</v>
      </c>
      <c r="T219">
        <f t="shared" si="41"/>
        <v>-0.1724138358139693</v>
      </c>
      <c r="U219">
        <f t="shared" si="42"/>
        <v>-6.5844860487466725</v>
      </c>
      <c r="V219">
        <f t="shared" si="43"/>
        <v>-25.571444371714801</v>
      </c>
      <c r="W219">
        <f t="shared" si="44"/>
        <v>-35.382611020734714</v>
      </c>
      <c r="X219">
        <f t="shared" si="45"/>
        <v>-10.537565280136993</v>
      </c>
      <c r="Y219">
        <f t="shared" si="46"/>
        <v>-5.9047653632915562</v>
      </c>
      <c r="Z219">
        <f t="shared" si="47"/>
        <v>-0.18467589519328001</v>
      </c>
      <c r="AA219">
        <f t="shared" si="48"/>
        <v>0.22742072276655956</v>
      </c>
      <c r="AB219">
        <f t="shared" si="50"/>
        <v>-0.27</v>
      </c>
      <c r="AC219">
        <f t="shared" si="51"/>
        <v>-0.30279508000000011</v>
      </c>
    </row>
    <row r="220" spans="1:29" x14ac:dyDescent="0.2">
      <c r="A220" s="1">
        <v>43921</v>
      </c>
      <c r="B220">
        <v>57.079107505071001</v>
      </c>
      <c r="C220">
        <v>103.9</v>
      </c>
      <c r="D220">
        <v>82.466580570000005</v>
      </c>
      <c r="E220">
        <v>115.8</v>
      </c>
      <c r="F220">
        <v>5079.0459979999996</v>
      </c>
      <c r="G220">
        <v>7804.986707</v>
      </c>
      <c r="H220">
        <v>261599</v>
      </c>
      <c r="I220">
        <v>333208</v>
      </c>
      <c r="J220">
        <v>5321.23</v>
      </c>
      <c r="K220">
        <v>50.903599999999997</v>
      </c>
      <c r="L220">
        <v>94141.745489809997</v>
      </c>
      <c r="M220">
        <v>0.11</v>
      </c>
      <c r="N220">
        <v>1.9922095</v>
      </c>
      <c r="O220">
        <v>-2.4948024948024798</v>
      </c>
      <c r="P220">
        <v>-5.9177532597793299</v>
      </c>
      <c r="Q220">
        <f t="shared" si="49"/>
        <v>-2.5264501659481704</v>
      </c>
      <c r="R220">
        <f t="shared" si="39"/>
        <v>-0.19230775157413765</v>
      </c>
      <c r="S220">
        <f t="shared" si="40"/>
        <v>-16.058775454905909</v>
      </c>
      <c r="T220">
        <f t="shared" si="41"/>
        <v>-8.6318520681123889E-2</v>
      </c>
      <c r="U220">
        <f t="shared" si="42"/>
        <v>-6.7216072898205779</v>
      </c>
      <c r="V220">
        <f t="shared" si="43"/>
        <v>5.3236057522432256</v>
      </c>
      <c r="W220">
        <f t="shared" si="44"/>
        <v>23.489142298395368</v>
      </c>
      <c r="X220">
        <f t="shared" si="45"/>
        <v>30.983795025314294</v>
      </c>
      <c r="Y220">
        <f t="shared" si="46"/>
        <v>-24.343860895449833</v>
      </c>
      <c r="Z220">
        <f t="shared" si="47"/>
        <v>0.31244983529550868</v>
      </c>
      <c r="AA220">
        <f t="shared" si="48"/>
        <v>7.5040094992621098</v>
      </c>
      <c r="AB220">
        <f t="shared" si="50"/>
        <v>-1.1399999999999999</v>
      </c>
      <c r="AC220">
        <f t="shared" si="51"/>
        <v>0.13140457999999988</v>
      </c>
    </row>
    <row r="221" spans="1:29" x14ac:dyDescent="0.2">
      <c r="A221" s="1">
        <v>43951</v>
      </c>
      <c r="B221">
        <v>56.7139959432048</v>
      </c>
      <c r="C221">
        <v>103.8</v>
      </c>
      <c r="D221">
        <v>33.864089700000001</v>
      </c>
      <c r="E221">
        <v>115.9</v>
      </c>
      <c r="F221">
        <v>3319.974972</v>
      </c>
      <c r="G221">
        <v>3507.0712010000002</v>
      </c>
      <c r="H221">
        <v>187776</v>
      </c>
      <c r="I221">
        <v>461657.17</v>
      </c>
      <c r="J221">
        <v>5700.71</v>
      </c>
      <c r="K221">
        <v>50.734900000000003</v>
      </c>
      <c r="L221">
        <v>98715.864738699995</v>
      </c>
      <c r="M221">
        <v>0.09</v>
      </c>
      <c r="N221">
        <v>1.75186895</v>
      </c>
      <c r="O221">
        <v>-0.63965884861407896</v>
      </c>
      <c r="P221">
        <v>-4.9949031600407601</v>
      </c>
      <c r="Q221">
        <f t="shared" si="49"/>
        <v>-0.64171343206347697</v>
      </c>
      <c r="R221">
        <f t="shared" si="39"/>
        <v>-9.6292737339355269E-2</v>
      </c>
      <c r="S221">
        <f t="shared" si="40"/>
        <v>-89.003797522621696</v>
      </c>
      <c r="T221">
        <f t="shared" si="41"/>
        <v>8.6318520681130703E-2</v>
      </c>
      <c r="U221">
        <f t="shared" si="42"/>
        <v>-42.516620393951918</v>
      </c>
      <c r="V221">
        <f t="shared" si="43"/>
        <v>-79.998157733720262</v>
      </c>
      <c r="W221">
        <f t="shared" si="44"/>
        <v>-33.15630338653061</v>
      </c>
      <c r="X221">
        <f t="shared" si="45"/>
        <v>32.605563973634048</v>
      </c>
      <c r="Y221">
        <f t="shared" si="46"/>
        <v>6.8886248849110547</v>
      </c>
      <c r="Z221">
        <f t="shared" si="47"/>
        <v>-0.33196112677824696</v>
      </c>
      <c r="AA221">
        <f t="shared" si="48"/>
        <v>4.7444093263463296</v>
      </c>
      <c r="AB221">
        <f t="shared" si="50"/>
        <v>-2.0000000000000004E-2</v>
      </c>
      <c r="AC221">
        <f t="shared" si="51"/>
        <v>-0.24034054999999999</v>
      </c>
    </row>
    <row r="222" spans="1:29" x14ac:dyDescent="0.2">
      <c r="A222" s="1">
        <v>43982</v>
      </c>
      <c r="B222">
        <v>56.653144016227102</v>
      </c>
      <c r="C222">
        <v>103.8</v>
      </c>
      <c r="D222">
        <v>25.110273939999999</v>
      </c>
      <c r="E222">
        <v>116</v>
      </c>
      <c r="F222">
        <v>4541.5118599999996</v>
      </c>
      <c r="G222">
        <v>5855.19085</v>
      </c>
      <c r="H222">
        <v>151493</v>
      </c>
      <c r="I222">
        <v>353629</v>
      </c>
      <c r="J222">
        <v>5838.84</v>
      </c>
      <c r="K222">
        <v>50.555599999999998</v>
      </c>
      <c r="L222">
        <v>99673.571794260002</v>
      </c>
      <c r="M222">
        <v>0.14000000000000001</v>
      </c>
      <c r="N222">
        <v>1.2730319000000001</v>
      </c>
      <c r="O222">
        <v>-0.10729613733906</v>
      </c>
      <c r="P222">
        <v>-4.6106557377049198</v>
      </c>
      <c r="Q222">
        <f t="shared" si="49"/>
        <v>-0.10735374085243024</v>
      </c>
      <c r="R222">
        <f t="shared" si="39"/>
        <v>0</v>
      </c>
      <c r="S222">
        <f t="shared" si="40"/>
        <v>-29.907806933797687</v>
      </c>
      <c r="T222">
        <f t="shared" si="41"/>
        <v>8.6244076065848205E-2</v>
      </c>
      <c r="U222">
        <f t="shared" si="42"/>
        <v>31.330272108293656</v>
      </c>
      <c r="V222">
        <f t="shared" si="43"/>
        <v>51.254731910044484</v>
      </c>
      <c r="W222">
        <f t="shared" si="44"/>
        <v>-21.471034381896636</v>
      </c>
      <c r="X222">
        <f t="shared" si="45"/>
        <v>-26.657421836942401</v>
      </c>
      <c r="Y222">
        <f t="shared" si="46"/>
        <v>2.3941418486685349</v>
      </c>
      <c r="Z222">
        <f t="shared" si="47"/>
        <v>-0.35403159679611029</v>
      </c>
      <c r="AA222">
        <f t="shared" si="48"/>
        <v>0.96548940491183122</v>
      </c>
      <c r="AB222">
        <f t="shared" si="50"/>
        <v>5.0000000000000017E-2</v>
      </c>
      <c r="AC222">
        <f t="shared" si="51"/>
        <v>-0.47883704999999988</v>
      </c>
    </row>
    <row r="223" spans="1:29" x14ac:dyDescent="0.2">
      <c r="A223" s="1">
        <v>44012</v>
      </c>
      <c r="B223">
        <v>56.105476673428001</v>
      </c>
      <c r="C223">
        <v>104.4</v>
      </c>
      <c r="D223">
        <v>16.82138922</v>
      </c>
      <c r="E223">
        <v>116.8</v>
      </c>
      <c r="F223">
        <v>5531.669065</v>
      </c>
      <c r="G223">
        <v>6955.7942370000001</v>
      </c>
      <c r="H223">
        <v>350977</v>
      </c>
      <c r="I223">
        <v>349211</v>
      </c>
      <c r="J223">
        <v>6207.72</v>
      </c>
      <c r="K223">
        <v>50.097200000000001</v>
      </c>
      <c r="L223">
        <v>99287.701242290001</v>
      </c>
      <c r="M223">
        <v>0.16</v>
      </c>
      <c r="N223">
        <v>1.12990368</v>
      </c>
      <c r="O223">
        <v>-0.96670247046187097</v>
      </c>
      <c r="P223">
        <v>-5.3388090349075998</v>
      </c>
      <c r="Q223">
        <f t="shared" si="49"/>
        <v>-0.97140537204717603</v>
      </c>
      <c r="R223">
        <f t="shared" si="39"/>
        <v>0.57637047167501343</v>
      </c>
      <c r="S223">
        <f t="shared" si="40"/>
        <v>-40.062583823233396</v>
      </c>
      <c r="T223">
        <f t="shared" si="41"/>
        <v>0.68728792877620504</v>
      </c>
      <c r="U223">
        <f t="shared" si="42"/>
        <v>19.722962463935897</v>
      </c>
      <c r="V223">
        <f t="shared" si="43"/>
        <v>17.224642281454805</v>
      </c>
      <c r="W223">
        <f t="shared" si="44"/>
        <v>84.018127499185127</v>
      </c>
      <c r="X223">
        <f t="shared" si="45"/>
        <v>-1.2572016933167462</v>
      </c>
      <c r="Y223">
        <f t="shared" si="46"/>
        <v>6.1261531797387869</v>
      </c>
      <c r="Z223">
        <f t="shared" si="47"/>
        <v>-0.91086024297623924</v>
      </c>
      <c r="AA223">
        <f t="shared" si="48"/>
        <v>-0.38788557178258176</v>
      </c>
      <c r="AB223">
        <f t="shared" si="50"/>
        <v>1.999999999999999E-2</v>
      </c>
      <c r="AC223">
        <f t="shared" si="51"/>
        <v>-0.14312822000000014</v>
      </c>
    </row>
    <row r="224" spans="1:29" x14ac:dyDescent="0.2">
      <c r="A224" s="1">
        <v>44043</v>
      </c>
      <c r="B224">
        <v>55.983772819472598</v>
      </c>
      <c r="C224">
        <v>104.9</v>
      </c>
      <c r="D224">
        <v>14.246134319999999</v>
      </c>
      <c r="E224">
        <v>116.9</v>
      </c>
      <c r="F224">
        <v>5698.7254329999996</v>
      </c>
      <c r="G224">
        <v>7833.5996279999999</v>
      </c>
      <c r="H224">
        <v>234468</v>
      </c>
      <c r="I224">
        <v>374676</v>
      </c>
      <c r="J224">
        <v>5928.45</v>
      </c>
      <c r="K224">
        <v>49.467500000000001</v>
      </c>
      <c r="L224">
        <v>101923.09768688001</v>
      </c>
      <c r="M224">
        <v>0.09</v>
      </c>
      <c r="N224">
        <v>0.72830326999999995</v>
      </c>
      <c r="O224">
        <v>-0.21691973969630299</v>
      </c>
      <c r="P224">
        <v>-4.7619047619047503</v>
      </c>
      <c r="Q224">
        <f t="shared" si="49"/>
        <v>-0.21715535135083519</v>
      </c>
      <c r="R224">
        <f t="shared" si="39"/>
        <v>0.47778399537130761</v>
      </c>
      <c r="S224">
        <f t="shared" si="40"/>
        <v>-16.616565035216723</v>
      </c>
      <c r="T224">
        <f t="shared" si="41"/>
        <v>8.5579808389602122E-2</v>
      </c>
      <c r="U224">
        <f t="shared" si="42"/>
        <v>2.9752951522778299</v>
      </c>
      <c r="V224">
        <f t="shared" si="43"/>
        <v>11.884711156329237</v>
      </c>
      <c r="W224">
        <f t="shared" si="44"/>
        <v>-40.34015762329723</v>
      </c>
      <c r="X224">
        <f t="shared" si="45"/>
        <v>7.038532846522827</v>
      </c>
      <c r="Y224">
        <f t="shared" si="46"/>
        <v>-4.6030882727088187</v>
      </c>
      <c r="Z224">
        <f t="shared" si="47"/>
        <v>-1.2649230021003255</v>
      </c>
      <c r="AA224">
        <f t="shared" si="48"/>
        <v>2.6196875857592774</v>
      </c>
      <c r="AB224">
        <f t="shared" si="50"/>
        <v>-7.0000000000000007E-2</v>
      </c>
      <c r="AC224">
        <f t="shared" si="51"/>
        <v>-0.40160041000000002</v>
      </c>
    </row>
    <row r="225" spans="1:29" x14ac:dyDescent="0.2">
      <c r="A225" s="1">
        <v>44074</v>
      </c>
      <c r="B225">
        <v>56.044624746450303</v>
      </c>
      <c r="C225">
        <v>104.8</v>
      </c>
      <c r="D225">
        <v>14.20402868</v>
      </c>
      <c r="E225">
        <v>117.1</v>
      </c>
      <c r="F225">
        <v>5499.619796</v>
      </c>
      <c r="G225">
        <v>7679.402591</v>
      </c>
      <c r="H225">
        <v>243232</v>
      </c>
      <c r="I225">
        <v>283306</v>
      </c>
      <c r="J225">
        <v>5884.18</v>
      </c>
      <c r="K225">
        <v>48.843299999999999</v>
      </c>
      <c r="L225">
        <v>102922.95868635</v>
      </c>
      <c r="M225">
        <v>0.11</v>
      </c>
      <c r="N225">
        <v>0.61861582999999998</v>
      </c>
      <c r="O225" s="2">
        <v>0.108695652173917</v>
      </c>
      <c r="P225">
        <v>-5.1493305870236803</v>
      </c>
      <c r="Q225">
        <f t="shared" si="49"/>
        <v>0.10863662122212332</v>
      </c>
      <c r="R225">
        <f t="shared" si="39"/>
        <v>-9.5374351530977952E-2</v>
      </c>
      <c r="S225">
        <f t="shared" si="40"/>
        <v>-0.29599598949146355</v>
      </c>
      <c r="T225">
        <f t="shared" si="41"/>
        <v>0.17094021256488795</v>
      </c>
      <c r="U225">
        <f t="shared" si="42"/>
        <v>-3.5563579741864242</v>
      </c>
      <c r="V225">
        <f t="shared" si="43"/>
        <v>-1.9880370464256436</v>
      </c>
      <c r="W225">
        <f t="shared" si="44"/>
        <v>3.6696602363255439</v>
      </c>
      <c r="X225">
        <f t="shared" si="45"/>
        <v>-27.953406693284993</v>
      </c>
      <c r="Y225">
        <f t="shared" si="46"/>
        <v>-0.74954023381898183</v>
      </c>
      <c r="Z225">
        <f t="shared" si="47"/>
        <v>-1.2698673756971817</v>
      </c>
      <c r="AA225">
        <f t="shared" si="48"/>
        <v>0.97621497595480022</v>
      </c>
      <c r="AB225">
        <f t="shared" si="50"/>
        <v>2.0000000000000004E-2</v>
      </c>
      <c r="AC225">
        <f t="shared" si="51"/>
        <v>-0.10968743999999997</v>
      </c>
    </row>
    <row r="226" spans="1:29" x14ac:dyDescent="0.2">
      <c r="A226" s="1">
        <v>44104</v>
      </c>
      <c r="B226">
        <v>56.105476673428001</v>
      </c>
      <c r="C226">
        <v>104.9</v>
      </c>
      <c r="D226">
        <v>40.709519290000003</v>
      </c>
      <c r="E226">
        <v>117.2</v>
      </c>
      <c r="F226">
        <v>6286.0558840000003</v>
      </c>
      <c r="G226">
        <v>8552.4918030000008</v>
      </c>
      <c r="H226">
        <v>212415</v>
      </c>
      <c r="I226">
        <v>350940</v>
      </c>
      <c r="J226">
        <v>5864.23</v>
      </c>
      <c r="K226">
        <v>48.505699999999997</v>
      </c>
      <c r="L226">
        <v>103764.73291685</v>
      </c>
      <c r="M226">
        <v>0.1</v>
      </c>
      <c r="N226">
        <v>0.53999363</v>
      </c>
      <c r="O226" s="2">
        <v>0.10857763300758599</v>
      </c>
      <c r="P226">
        <v>-5.24152106885919</v>
      </c>
      <c r="Q226">
        <f t="shared" si="49"/>
        <v>0.10851873012872051</v>
      </c>
      <c r="R226">
        <f t="shared" si="39"/>
        <v>9.5374351530985682E-2</v>
      </c>
      <c r="S226">
        <f t="shared" si="40"/>
        <v>105.2936320061588</v>
      </c>
      <c r="T226">
        <f t="shared" si="41"/>
        <v>8.5360653924068636E-2</v>
      </c>
      <c r="U226">
        <f t="shared" si="42"/>
        <v>13.365486671914528</v>
      </c>
      <c r="V226">
        <f t="shared" si="43"/>
        <v>10.768092293219903</v>
      </c>
      <c r="W226">
        <f t="shared" si="44"/>
        <v>-13.547381204049813</v>
      </c>
      <c r="X226">
        <f t="shared" si="45"/>
        <v>21.408768310855876</v>
      </c>
      <c r="Y226">
        <f t="shared" si="46"/>
        <v>-0.33962075167016847</v>
      </c>
      <c r="Z226">
        <f t="shared" si="47"/>
        <v>-0.69358977164654767</v>
      </c>
      <c r="AA226">
        <f t="shared" si="48"/>
        <v>0.81454186083776225</v>
      </c>
      <c r="AB226">
        <f t="shared" si="50"/>
        <v>-9.999999999999995E-3</v>
      </c>
      <c r="AC226">
        <f t="shared" si="51"/>
        <v>-7.8622199999999975E-2</v>
      </c>
    </row>
    <row r="227" spans="1:29" x14ac:dyDescent="0.2">
      <c r="A227" s="1">
        <v>44135</v>
      </c>
      <c r="B227">
        <v>56.044624746450303</v>
      </c>
      <c r="C227">
        <v>105.3</v>
      </c>
      <c r="D227">
        <v>75.685223489999998</v>
      </c>
      <c r="E227">
        <v>117.2</v>
      </c>
      <c r="F227">
        <v>6287.045392</v>
      </c>
      <c r="G227">
        <v>8335.4465799999998</v>
      </c>
      <c r="H227">
        <v>228206</v>
      </c>
      <c r="I227">
        <v>289568</v>
      </c>
      <c r="J227">
        <v>6324</v>
      </c>
      <c r="K227">
        <v>48.482199999999999</v>
      </c>
      <c r="L227">
        <v>104624.79932056001</v>
      </c>
      <c r="M227">
        <v>0.09</v>
      </c>
      <c r="N227">
        <v>0.46446800999999999</v>
      </c>
      <c r="O227">
        <v>-0.108459869848142</v>
      </c>
      <c r="P227">
        <v>-4.6583850931676896</v>
      </c>
      <c r="Q227">
        <f t="shared" si="49"/>
        <v>-0.10851873012871857</v>
      </c>
      <c r="R227">
        <f t="shared" si="39"/>
        <v>0.38059037376781901</v>
      </c>
      <c r="S227">
        <f t="shared" si="40"/>
        <v>62.012098881711765</v>
      </c>
      <c r="T227">
        <f t="shared" si="41"/>
        <v>0</v>
      </c>
      <c r="U227">
        <f t="shared" si="42"/>
        <v>1.5740078447175107E-2</v>
      </c>
      <c r="V227">
        <f t="shared" si="43"/>
        <v>-2.5705585784273568</v>
      </c>
      <c r="W227">
        <f t="shared" si="44"/>
        <v>7.1706821464875139</v>
      </c>
      <c r="X227">
        <f t="shared" si="45"/>
        <v>-19.222511151426662</v>
      </c>
      <c r="Y227">
        <f t="shared" si="46"/>
        <v>7.5480733158246149</v>
      </c>
      <c r="Z227">
        <f t="shared" si="47"/>
        <v>-4.8459654162797808E-2</v>
      </c>
      <c r="AA227">
        <f t="shared" si="48"/>
        <v>0.82544576777184364</v>
      </c>
      <c r="AB227">
        <f t="shared" si="50"/>
        <v>-1.0000000000000009E-2</v>
      </c>
      <c r="AC227">
        <f t="shared" si="51"/>
        <v>-7.5525620000000016E-2</v>
      </c>
    </row>
    <row r="228" spans="1:29" x14ac:dyDescent="0.2">
      <c r="A228" s="1">
        <v>44165</v>
      </c>
      <c r="B228">
        <v>55.862068965517203</v>
      </c>
      <c r="C228">
        <v>106.3</v>
      </c>
      <c r="D228">
        <v>76.686498950000001</v>
      </c>
      <c r="E228">
        <v>117.9</v>
      </c>
      <c r="F228">
        <v>5882.7413070000002</v>
      </c>
      <c r="G228">
        <v>8026.7672039999998</v>
      </c>
      <c r="H228">
        <v>245772</v>
      </c>
      <c r="I228">
        <v>374050</v>
      </c>
      <c r="J228">
        <v>6791.46</v>
      </c>
      <c r="K228">
        <v>48.252099999999999</v>
      </c>
      <c r="L228">
        <v>107224.83806141</v>
      </c>
      <c r="M228">
        <v>0.08</v>
      </c>
      <c r="N228">
        <v>0.44462877000000001</v>
      </c>
      <c r="O228">
        <v>-0.32573289902281299</v>
      </c>
      <c r="P228">
        <v>-4.6728971962616903</v>
      </c>
      <c r="Q228">
        <f t="shared" si="49"/>
        <v>-0.32626456348170507</v>
      </c>
      <c r="R228">
        <f t="shared" si="39"/>
        <v>0.94518662079724181</v>
      </c>
      <c r="S228">
        <f t="shared" si="40"/>
        <v>1.3142725652155141</v>
      </c>
      <c r="T228">
        <f t="shared" si="41"/>
        <v>0.59549304004130355</v>
      </c>
      <c r="U228">
        <f t="shared" si="42"/>
        <v>-6.6468367410085456</v>
      </c>
      <c r="V228">
        <f t="shared" si="43"/>
        <v>-3.7735236542332662</v>
      </c>
      <c r="W228">
        <f t="shared" si="44"/>
        <v>7.4155547084246392</v>
      </c>
      <c r="X228">
        <f t="shared" si="45"/>
        <v>25.599932114969114</v>
      </c>
      <c r="Y228">
        <f t="shared" si="46"/>
        <v>7.1314021200753377</v>
      </c>
      <c r="Z228">
        <f t="shared" si="47"/>
        <v>-0.47573701154476056</v>
      </c>
      <c r="AA228">
        <f t="shared" si="48"/>
        <v>2.4547309408095228</v>
      </c>
      <c r="AB228">
        <f t="shared" si="50"/>
        <v>-9.999999999999995E-3</v>
      </c>
      <c r="AC228">
        <f t="shared" si="51"/>
        <v>-1.983923999999998E-2</v>
      </c>
    </row>
    <row r="229" spans="1:29" x14ac:dyDescent="0.2">
      <c r="A229" s="1">
        <v>44196</v>
      </c>
      <c r="B229">
        <v>56.409736308316397</v>
      </c>
      <c r="C229">
        <v>107.2</v>
      </c>
      <c r="D229">
        <v>78.563888399999996</v>
      </c>
      <c r="E229">
        <v>118.4</v>
      </c>
      <c r="F229">
        <v>5854.0583219999999</v>
      </c>
      <c r="G229">
        <v>8303.7544870000002</v>
      </c>
      <c r="H229">
        <v>238548</v>
      </c>
      <c r="I229">
        <v>541138</v>
      </c>
      <c r="J229">
        <v>7139.71</v>
      </c>
      <c r="K229">
        <v>48.063699999999997</v>
      </c>
      <c r="L229">
        <v>113580.42020137999</v>
      </c>
      <c r="M229">
        <v>0.09</v>
      </c>
      <c r="N229">
        <v>0.54481219000000003</v>
      </c>
      <c r="O229" s="2">
        <v>0.98039215686274706</v>
      </c>
      <c r="P229">
        <v>-3.7383177570093502</v>
      </c>
      <c r="Q229">
        <f t="shared" si="49"/>
        <v>0.97561749453648738</v>
      </c>
      <c r="R229">
        <f t="shared" si="39"/>
        <v>0.84309632887994213</v>
      </c>
      <c r="S229">
        <f t="shared" si="40"/>
        <v>2.4186489988808706</v>
      </c>
      <c r="T229">
        <f t="shared" si="41"/>
        <v>0.4231914906580157</v>
      </c>
      <c r="U229">
        <f t="shared" si="42"/>
        <v>-0.48877109619346776</v>
      </c>
      <c r="V229">
        <f t="shared" si="43"/>
        <v>3.3925903246089106</v>
      </c>
      <c r="W229">
        <f t="shared" si="44"/>
        <v>-2.9833728951868697</v>
      </c>
      <c r="X229">
        <f t="shared" si="45"/>
        <v>36.92848511791825</v>
      </c>
      <c r="Y229">
        <f t="shared" si="46"/>
        <v>5.000621873215338</v>
      </c>
      <c r="Z229">
        <f t="shared" si="47"/>
        <v>-0.39121357095178688</v>
      </c>
      <c r="AA229">
        <f t="shared" si="48"/>
        <v>5.7583213916755378</v>
      </c>
      <c r="AB229">
        <f t="shared" si="50"/>
        <v>9.999999999999995E-3</v>
      </c>
      <c r="AC229">
        <f t="shared" si="51"/>
        <v>0.10018342000000002</v>
      </c>
    </row>
    <row r="230" spans="1:29" x14ac:dyDescent="0.2">
      <c r="A230" s="1">
        <v>44227</v>
      </c>
      <c r="B230">
        <v>55.070993914807303</v>
      </c>
      <c r="C230">
        <v>108.4</v>
      </c>
      <c r="D230">
        <v>84.059580659999995</v>
      </c>
      <c r="E230">
        <v>118.5</v>
      </c>
      <c r="F230">
        <v>5549.4041880000004</v>
      </c>
      <c r="G230">
        <v>8424.8127480000003</v>
      </c>
      <c r="H230">
        <v>260732.07</v>
      </c>
      <c r="I230">
        <v>274792</v>
      </c>
      <c r="J230">
        <v>6612.62</v>
      </c>
      <c r="K230">
        <v>48.061399999999999</v>
      </c>
      <c r="L230">
        <v>111623.69033899999</v>
      </c>
      <c r="M230">
        <v>0.06</v>
      </c>
      <c r="N230">
        <v>0.46319517999999998</v>
      </c>
      <c r="O230">
        <v>-2.3732470334412099</v>
      </c>
      <c r="P230">
        <v>-5.8272632674297604</v>
      </c>
      <c r="Q230">
        <f t="shared" si="49"/>
        <v>-2.4018621865928442</v>
      </c>
      <c r="R230">
        <f t="shared" si="39"/>
        <v>1.1131840368844199</v>
      </c>
      <c r="S230">
        <f t="shared" si="40"/>
        <v>6.7613682236933936</v>
      </c>
      <c r="T230">
        <f t="shared" si="41"/>
        <v>8.4423812528049078E-2</v>
      </c>
      <c r="U230">
        <f t="shared" si="42"/>
        <v>-5.3444582498542887</v>
      </c>
      <c r="V230">
        <f t="shared" si="43"/>
        <v>1.4473489879313435</v>
      </c>
      <c r="W230">
        <f t="shared" si="44"/>
        <v>8.892278039307552</v>
      </c>
      <c r="X230">
        <f t="shared" si="45"/>
        <v>-67.765988165468087</v>
      </c>
      <c r="Y230">
        <f t="shared" si="46"/>
        <v>-7.6692214812362405</v>
      </c>
      <c r="Z230">
        <f t="shared" si="47"/>
        <v>-4.7854306532613307E-3</v>
      </c>
      <c r="AA230">
        <f t="shared" si="48"/>
        <v>-1.7377827607087888</v>
      </c>
      <c r="AB230">
        <f t="shared" si="50"/>
        <v>-0.03</v>
      </c>
      <c r="AC230">
        <f t="shared" si="51"/>
        <v>-8.1617010000000045E-2</v>
      </c>
    </row>
    <row r="231" spans="1:29" x14ac:dyDescent="0.2">
      <c r="A231" s="1">
        <v>44255</v>
      </c>
      <c r="B231">
        <v>55.253549695740297</v>
      </c>
      <c r="C231">
        <v>108.5</v>
      </c>
      <c r="D231">
        <v>55.349791850000003</v>
      </c>
      <c r="E231">
        <v>118.8</v>
      </c>
      <c r="F231">
        <v>5358.4754759999996</v>
      </c>
      <c r="G231">
        <v>8064.4470760000004</v>
      </c>
      <c r="H231">
        <v>219561.76</v>
      </c>
      <c r="I231">
        <v>335531.53999999998</v>
      </c>
      <c r="J231">
        <v>6794.86</v>
      </c>
      <c r="K231">
        <v>48.2042</v>
      </c>
      <c r="L231">
        <v>110541.42943203999</v>
      </c>
      <c r="M231">
        <v>0.04</v>
      </c>
      <c r="N231">
        <v>0.42386955999999998</v>
      </c>
      <c r="O231" s="2">
        <v>0.33149171270719502</v>
      </c>
      <c r="P231">
        <v>-5.6133056133055996</v>
      </c>
      <c r="Q231">
        <f t="shared" si="49"/>
        <v>0.33094349013659025</v>
      </c>
      <c r="R231">
        <f t="shared" si="39"/>
        <v>9.2208397496833877E-2</v>
      </c>
      <c r="S231">
        <f t="shared" si="40"/>
        <v>-41.785294245163961</v>
      </c>
      <c r="T231">
        <f t="shared" si="41"/>
        <v>0.25284463533586904</v>
      </c>
      <c r="U231">
        <f t="shared" si="42"/>
        <v>-3.5011059975501504</v>
      </c>
      <c r="V231">
        <f t="shared" si="43"/>
        <v>-4.3716099470311907</v>
      </c>
      <c r="W231">
        <f t="shared" si="44"/>
        <v>-17.18597686518358</v>
      </c>
      <c r="X231">
        <f t="shared" si="45"/>
        <v>19.970151309213495</v>
      </c>
      <c r="Y231">
        <f t="shared" si="46"/>
        <v>2.7186499538242521</v>
      </c>
      <c r="Z231">
        <f t="shared" si="47"/>
        <v>0.29667940519189356</v>
      </c>
      <c r="AA231">
        <f t="shared" si="48"/>
        <v>-0.97429287654692243</v>
      </c>
      <c r="AB231">
        <f t="shared" si="50"/>
        <v>-1.9999999999999997E-2</v>
      </c>
      <c r="AC231">
        <f t="shared" si="51"/>
        <v>-3.9325620000000006E-2</v>
      </c>
    </row>
    <row r="232" spans="1:29" x14ac:dyDescent="0.2">
      <c r="A232" s="1">
        <v>44286</v>
      </c>
      <c r="B232">
        <v>55.253549695740297</v>
      </c>
      <c r="C232">
        <v>108.2</v>
      </c>
      <c r="D232">
        <v>22.190911440000001</v>
      </c>
      <c r="E232">
        <v>119</v>
      </c>
      <c r="F232">
        <v>6779.0399369999996</v>
      </c>
      <c r="G232">
        <v>9533.1358459999992</v>
      </c>
      <c r="H232">
        <v>216160.96</v>
      </c>
      <c r="I232">
        <v>407603</v>
      </c>
      <c r="J232">
        <v>6443.09</v>
      </c>
      <c r="K232">
        <v>48.574300000000001</v>
      </c>
      <c r="L232">
        <v>112954.85684071999</v>
      </c>
      <c r="M232">
        <v>0.03</v>
      </c>
      <c r="N232">
        <v>0.45391765000000001</v>
      </c>
      <c r="O232">
        <v>0</v>
      </c>
      <c r="P232">
        <v>-3.19829424307036</v>
      </c>
      <c r="Q232">
        <f t="shared" si="49"/>
        <v>0</v>
      </c>
      <c r="R232">
        <f t="shared" si="39"/>
        <v>-0.27688065681330382</v>
      </c>
      <c r="S232">
        <f t="shared" si="40"/>
        <v>-91.399008807450898</v>
      </c>
      <c r="T232">
        <f t="shared" si="41"/>
        <v>0.16820861829848799</v>
      </c>
      <c r="U232">
        <f t="shared" si="42"/>
        <v>23.515598120684757</v>
      </c>
      <c r="V232">
        <f t="shared" si="43"/>
        <v>16.730856272414261</v>
      </c>
      <c r="W232">
        <f t="shared" si="44"/>
        <v>-1.5610244324897418</v>
      </c>
      <c r="X232">
        <f t="shared" si="45"/>
        <v>19.457770054345005</v>
      </c>
      <c r="Y232">
        <f t="shared" si="46"/>
        <v>-5.3158205298922541</v>
      </c>
      <c r="Z232">
        <f t="shared" si="47"/>
        <v>0.76484302647598712</v>
      </c>
      <c r="AA232">
        <f t="shared" si="48"/>
        <v>2.1597864230347019</v>
      </c>
      <c r="AB232">
        <f t="shared" si="50"/>
        <v>-1.0000000000000002E-2</v>
      </c>
      <c r="AC232">
        <f t="shared" si="51"/>
        <v>3.0048090000000027E-2</v>
      </c>
    </row>
    <row r="233" spans="1:29" x14ac:dyDescent="0.2">
      <c r="A233" s="1">
        <v>44316</v>
      </c>
      <c r="B233">
        <v>55.010141987829599</v>
      </c>
      <c r="C233">
        <v>108.1</v>
      </c>
      <c r="D233">
        <v>87.285633619999999</v>
      </c>
      <c r="E233">
        <v>119</v>
      </c>
      <c r="F233">
        <v>5784.5060530000001</v>
      </c>
      <c r="G233">
        <v>8878.6752610000003</v>
      </c>
      <c r="H233">
        <v>291919.94</v>
      </c>
      <c r="I233">
        <v>336346</v>
      </c>
      <c r="J233">
        <v>6370.87</v>
      </c>
      <c r="K233">
        <v>48.462000000000003</v>
      </c>
      <c r="L233">
        <v>114026.41288546</v>
      </c>
      <c r="M233">
        <v>0.01</v>
      </c>
      <c r="N233">
        <v>0.46802846999999997</v>
      </c>
      <c r="O233">
        <v>-0.44052863436123202</v>
      </c>
      <c r="P233">
        <v>-3.0042918454935501</v>
      </c>
      <c r="Q233">
        <f t="shared" si="49"/>
        <v>-0.44150182091158274</v>
      </c>
      <c r="R233">
        <f t="shared" si="39"/>
        <v>-9.2464176721867616E-2</v>
      </c>
      <c r="S233">
        <f t="shared" si="40"/>
        <v>136.95030754999425</v>
      </c>
      <c r="T233">
        <f t="shared" si="41"/>
        <v>0</v>
      </c>
      <c r="U233">
        <f t="shared" si="42"/>
        <v>-15.865251680996668</v>
      </c>
      <c r="V233">
        <f t="shared" si="43"/>
        <v>-7.1121349933113933</v>
      </c>
      <c r="W233">
        <f t="shared" si="44"/>
        <v>30.045627123568085</v>
      </c>
      <c r="X233">
        <f t="shared" si="45"/>
        <v>-19.215326945161586</v>
      </c>
      <c r="Y233">
        <f t="shared" si="46"/>
        <v>-1.1272200740897824</v>
      </c>
      <c r="Z233">
        <f t="shared" si="47"/>
        <v>-0.23145987663590778</v>
      </c>
      <c r="AA233">
        <f t="shared" si="48"/>
        <v>0.94418716283915427</v>
      </c>
      <c r="AB233">
        <f t="shared" si="50"/>
        <v>-1.9999999999999997E-2</v>
      </c>
      <c r="AC233">
        <f t="shared" si="51"/>
        <v>1.4110819999999968E-2</v>
      </c>
    </row>
    <row r="234" spans="1:29" x14ac:dyDescent="0.2">
      <c r="A234" s="1">
        <v>44347</v>
      </c>
      <c r="B234">
        <v>54.949290060851901</v>
      </c>
      <c r="C234">
        <v>108.1</v>
      </c>
      <c r="D234">
        <v>92.214366420000005</v>
      </c>
      <c r="E234">
        <v>119.4</v>
      </c>
      <c r="F234">
        <v>5943.035081</v>
      </c>
      <c r="G234">
        <v>9121.6446240000005</v>
      </c>
      <c r="H234">
        <v>256414.84</v>
      </c>
      <c r="I234">
        <v>456721</v>
      </c>
      <c r="J234">
        <v>6628.49</v>
      </c>
      <c r="K234">
        <v>47.955199999999998</v>
      </c>
      <c r="L234">
        <v>116249.66526348999</v>
      </c>
      <c r="M234">
        <v>0.01</v>
      </c>
      <c r="N234">
        <v>0.44745281999999997</v>
      </c>
      <c r="O234">
        <v>-0.11061946902655299</v>
      </c>
      <c r="P234">
        <v>-3.0075187969924699</v>
      </c>
      <c r="Q234">
        <f t="shared" si="49"/>
        <v>-0.11068069751912175</v>
      </c>
      <c r="R234">
        <f t="shared" si="39"/>
        <v>0</v>
      </c>
      <c r="S234">
        <f t="shared" si="40"/>
        <v>5.4930050469786851</v>
      </c>
      <c r="T234">
        <f t="shared" si="41"/>
        <v>0.33557078469723151</v>
      </c>
      <c r="U234">
        <f t="shared" si="42"/>
        <v>2.703698637468094</v>
      </c>
      <c r="V234">
        <f t="shared" si="43"/>
        <v>2.6997755851932927</v>
      </c>
      <c r="W234">
        <f t="shared" si="44"/>
        <v>-12.968298490564543</v>
      </c>
      <c r="X234">
        <f t="shared" si="45"/>
        <v>30.593230915203286</v>
      </c>
      <c r="Y234">
        <f t="shared" si="46"/>
        <v>3.9640987652490551</v>
      </c>
      <c r="Z234">
        <f t="shared" si="47"/>
        <v>-1.0512743940414562</v>
      </c>
      <c r="AA234">
        <f t="shared" si="48"/>
        <v>1.9310051473697039</v>
      </c>
      <c r="AB234">
        <f t="shared" si="50"/>
        <v>0</v>
      </c>
      <c r="AC234">
        <f t="shared" si="51"/>
        <v>-2.0575650000000001E-2</v>
      </c>
    </row>
    <row r="235" spans="1:29" x14ac:dyDescent="0.2">
      <c r="A235" s="1">
        <v>44377</v>
      </c>
      <c r="B235">
        <v>55.314401622718002</v>
      </c>
      <c r="C235">
        <v>108.3</v>
      </c>
      <c r="D235">
        <v>92.217416990000004</v>
      </c>
      <c r="E235">
        <v>119.4</v>
      </c>
      <c r="F235">
        <v>6578.1696929999998</v>
      </c>
      <c r="G235">
        <v>9906.8853359999994</v>
      </c>
      <c r="H235">
        <v>245567.7</v>
      </c>
      <c r="I235">
        <v>395430</v>
      </c>
      <c r="J235">
        <v>6901.91</v>
      </c>
      <c r="K235">
        <v>48.124699999999997</v>
      </c>
      <c r="L235">
        <v>115776.25914076999</v>
      </c>
      <c r="M235">
        <v>0.05</v>
      </c>
      <c r="N235">
        <v>0.44811402</v>
      </c>
      <c r="O235" s="2">
        <v>0.66445182724251395</v>
      </c>
      <c r="P235">
        <v>-1.40997830802603</v>
      </c>
      <c r="Q235">
        <f t="shared" si="49"/>
        <v>0.66225407604930153</v>
      </c>
      <c r="R235">
        <f t="shared" si="39"/>
        <v>0.18484293617823749</v>
      </c>
      <c r="S235">
        <f t="shared" si="40"/>
        <v>3.3080740682215996E-3</v>
      </c>
      <c r="T235">
        <f t="shared" si="41"/>
        <v>0</v>
      </c>
      <c r="U235">
        <f t="shared" si="42"/>
        <v>10.153658520681315</v>
      </c>
      <c r="V235">
        <f t="shared" si="43"/>
        <v>8.2579884477952135</v>
      </c>
      <c r="W235">
        <f t="shared" si="44"/>
        <v>-4.3223928720566489</v>
      </c>
      <c r="X235">
        <f t="shared" si="45"/>
        <v>-14.409892078643354</v>
      </c>
      <c r="Y235">
        <f t="shared" si="46"/>
        <v>4.0421159273473162</v>
      </c>
      <c r="Z235">
        <f t="shared" si="47"/>
        <v>0.3528317074484712</v>
      </c>
      <c r="AA235">
        <f t="shared" si="48"/>
        <v>-0.40806369447667823</v>
      </c>
      <c r="AB235">
        <f t="shared" si="50"/>
        <v>0.04</v>
      </c>
      <c r="AC235">
        <f t="shared" si="51"/>
        <v>6.6120000000002843E-4</v>
      </c>
    </row>
    <row r="236" spans="1:29" x14ac:dyDescent="0.2">
      <c r="A236" s="1">
        <v>44408</v>
      </c>
      <c r="B236">
        <v>55.5578093306288</v>
      </c>
      <c r="C236">
        <v>108.8</v>
      </c>
      <c r="D236">
        <v>90.376529500000004</v>
      </c>
      <c r="E236">
        <v>120.3</v>
      </c>
      <c r="F236">
        <v>6487.1529909999999</v>
      </c>
      <c r="G236">
        <v>9991.0372069999994</v>
      </c>
      <c r="H236">
        <v>256070.91</v>
      </c>
      <c r="I236">
        <v>377257</v>
      </c>
      <c r="J236">
        <v>6270.23</v>
      </c>
      <c r="K236">
        <v>49.942999999999998</v>
      </c>
      <c r="L236">
        <v>111570.28954218001</v>
      </c>
      <c r="M236">
        <v>0.06</v>
      </c>
      <c r="N236">
        <v>0.48684189999999999</v>
      </c>
      <c r="O236" s="2">
        <v>0.44004400440045699</v>
      </c>
      <c r="P236">
        <v>-0.76086956521738502</v>
      </c>
      <c r="Q236">
        <f t="shared" si="49"/>
        <v>0.43907864174904238</v>
      </c>
      <c r="R236">
        <f t="shared" si="39"/>
        <v>0.46061804148972813</v>
      </c>
      <c r="S236">
        <f t="shared" si="40"/>
        <v>-2.0164412905406266</v>
      </c>
      <c r="T236">
        <f t="shared" si="41"/>
        <v>0.75094220221313479</v>
      </c>
      <c r="U236">
        <f t="shared" si="42"/>
        <v>-1.3932786286674004</v>
      </c>
      <c r="V236">
        <f t="shared" si="43"/>
        <v>0.84584079102388088</v>
      </c>
      <c r="W236">
        <f t="shared" si="44"/>
        <v>4.1881725345613088</v>
      </c>
      <c r="X236">
        <f t="shared" si="45"/>
        <v>-4.7047127582015156</v>
      </c>
      <c r="Y236">
        <f t="shared" si="46"/>
        <v>-9.5985148304487478</v>
      </c>
      <c r="Z236">
        <f t="shared" si="47"/>
        <v>3.7086796311590962</v>
      </c>
      <c r="AA236">
        <f t="shared" si="48"/>
        <v>-3.7004736301380179</v>
      </c>
      <c r="AB236">
        <f t="shared" si="50"/>
        <v>9.999999999999995E-3</v>
      </c>
      <c r="AC236">
        <f t="shared" si="51"/>
        <v>3.8727879999999992E-2</v>
      </c>
    </row>
    <row r="237" spans="1:29" x14ac:dyDescent="0.2">
      <c r="A237" s="1">
        <v>44439</v>
      </c>
      <c r="B237">
        <v>55.862068965517203</v>
      </c>
      <c r="C237">
        <v>109.4</v>
      </c>
      <c r="D237">
        <v>90.014915200000004</v>
      </c>
      <c r="E237">
        <v>120.8</v>
      </c>
      <c r="F237">
        <v>6541.2898329999998</v>
      </c>
      <c r="G237">
        <v>9850.6230730000007</v>
      </c>
      <c r="H237">
        <v>259252.05</v>
      </c>
      <c r="I237">
        <v>380188</v>
      </c>
      <c r="J237">
        <v>6855.44</v>
      </c>
      <c r="K237">
        <v>50.234299999999998</v>
      </c>
      <c r="L237">
        <v>113551.86671077</v>
      </c>
      <c r="M237">
        <v>0.04</v>
      </c>
      <c r="N237">
        <v>0.47432419999999997</v>
      </c>
      <c r="O237" s="2">
        <v>0.54764512595836401</v>
      </c>
      <c r="P237">
        <v>-0.32573289902281299</v>
      </c>
      <c r="Q237">
        <f t="shared" si="49"/>
        <v>0.54615100255212812</v>
      </c>
      <c r="R237">
        <f t="shared" si="39"/>
        <v>0.54995555660386697</v>
      </c>
      <c r="S237">
        <f t="shared" si="40"/>
        <v>-0.40092232198674332</v>
      </c>
      <c r="T237">
        <f t="shared" si="41"/>
        <v>0.41476625200813799</v>
      </c>
      <c r="U237">
        <f t="shared" si="42"/>
        <v>0.83106099963971347</v>
      </c>
      <c r="V237">
        <f t="shared" si="43"/>
        <v>-1.415370247004951</v>
      </c>
      <c r="W237">
        <f t="shared" si="44"/>
        <v>1.2346356191829264</v>
      </c>
      <c r="X237">
        <f t="shared" si="45"/>
        <v>0.77392144101460902</v>
      </c>
      <c r="Y237">
        <f t="shared" si="46"/>
        <v>8.9229461091747648</v>
      </c>
      <c r="Z237">
        <f t="shared" si="47"/>
        <v>0.58157051755026501</v>
      </c>
      <c r="AA237">
        <f t="shared" si="48"/>
        <v>1.760491620194907</v>
      </c>
      <c r="AB237">
        <f t="shared" si="50"/>
        <v>-1.9999999999999997E-2</v>
      </c>
      <c r="AC237">
        <f t="shared" si="51"/>
        <v>-1.251770000000002E-2</v>
      </c>
    </row>
    <row r="238" spans="1:29" x14ac:dyDescent="0.2">
      <c r="A238" s="1">
        <v>44469</v>
      </c>
      <c r="B238">
        <v>56.166328600405599</v>
      </c>
      <c r="C238">
        <v>109.3</v>
      </c>
      <c r="D238">
        <v>91.325747410000005</v>
      </c>
      <c r="E238">
        <v>121.1</v>
      </c>
      <c r="F238">
        <v>6691.759333</v>
      </c>
      <c r="G238">
        <v>10499.418521</v>
      </c>
      <c r="H238">
        <v>231445.21</v>
      </c>
      <c r="I238">
        <v>412361</v>
      </c>
      <c r="J238">
        <v>6952.88</v>
      </c>
      <c r="K238">
        <v>50.142099999999999</v>
      </c>
      <c r="L238">
        <v>112995.03858409</v>
      </c>
      <c r="M238">
        <v>0.04</v>
      </c>
      <c r="N238">
        <v>0.43945467999999999</v>
      </c>
      <c r="O238">
        <v>0.54466230936819504</v>
      </c>
      <c r="P238">
        <v>0.10845986984816</v>
      </c>
      <c r="Q238">
        <f t="shared" si="49"/>
        <v>0.54318438823609383</v>
      </c>
      <c r="R238">
        <f t="shared" si="39"/>
        <v>-9.1449480538804168E-2</v>
      </c>
      <c r="S238">
        <f t="shared" si="40"/>
        <v>1.445737567181562</v>
      </c>
      <c r="T238">
        <f t="shared" si="41"/>
        <v>0.24803650583319248</v>
      </c>
      <c r="U238">
        <f t="shared" si="42"/>
        <v>2.2742450894132644</v>
      </c>
      <c r="V238">
        <f t="shared" si="43"/>
        <v>6.3785167352081631</v>
      </c>
      <c r="W238">
        <f t="shared" si="44"/>
        <v>-11.345758285511961</v>
      </c>
      <c r="X238">
        <f t="shared" si="45"/>
        <v>8.1233312070105352</v>
      </c>
      <c r="Y238">
        <f t="shared" si="46"/>
        <v>1.4113464551295249</v>
      </c>
      <c r="Z238">
        <f t="shared" si="47"/>
        <v>-0.18370857279271466</v>
      </c>
      <c r="AA238">
        <f t="shared" si="48"/>
        <v>-0.49157965523302438</v>
      </c>
      <c r="AB238">
        <f t="shared" si="50"/>
        <v>0</v>
      </c>
      <c r="AC238">
        <f t="shared" si="51"/>
        <v>-3.4869519999999987E-2</v>
      </c>
    </row>
    <row r="239" spans="1:29" x14ac:dyDescent="0.2">
      <c r="A239" s="1">
        <v>44500</v>
      </c>
      <c r="B239">
        <v>56.409736308316397</v>
      </c>
      <c r="C239">
        <v>109.5</v>
      </c>
      <c r="D239">
        <v>96.114408139999995</v>
      </c>
      <c r="E239">
        <v>121.8</v>
      </c>
      <c r="F239">
        <v>6420.4330170000003</v>
      </c>
      <c r="G239">
        <v>10234.669214</v>
      </c>
      <c r="H239">
        <v>253088.64000000001</v>
      </c>
      <c r="I239">
        <v>317379</v>
      </c>
      <c r="J239">
        <v>7054.7</v>
      </c>
      <c r="K239">
        <v>50.749099999999999</v>
      </c>
      <c r="L239">
        <v>114380.63494521</v>
      </c>
      <c r="M239">
        <v>0.05</v>
      </c>
      <c r="N239">
        <v>0.45757138000000003</v>
      </c>
      <c r="O239" s="2">
        <v>0.43336944745395301</v>
      </c>
      <c r="P239">
        <v>0.65146579804559201</v>
      </c>
      <c r="Q239">
        <f t="shared" si="49"/>
        <v>0.43243310630039095</v>
      </c>
      <c r="R239">
        <f t="shared" si="39"/>
        <v>0.18281540740626234</v>
      </c>
      <c r="S239">
        <f t="shared" si="40"/>
        <v>5.1106476638353699</v>
      </c>
      <c r="T239">
        <f t="shared" si="41"/>
        <v>0.57637047167501343</v>
      </c>
      <c r="U239">
        <f t="shared" si="42"/>
        <v>-4.1391255530569948</v>
      </c>
      <c r="V239">
        <f t="shared" si="43"/>
        <v>-2.5538977187770131</v>
      </c>
      <c r="W239">
        <f t="shared" si="44"/>
        <v>8.9396611449989187</v>
      </c>
      <c r="X239">
        <f t="shared" si="45"/>
        <v>-26.180253595813944</v>
      </c>
      <c r="Y239">
        <f t="shared" si="46"/>
        <v>1.4538099136626366</v>
      </c>
      <c r="Z239">
        <f t="shared" si="47"/>
        <v>1.2032909193048877</v>
      </c>
      <c r="AA239">
        <f t="shared" si="48"/>
        <v>1.2187878249674977</v>
      </c>
      <c r="AB239">
        <f t="shared" si="50"/>
        <v>1.0000000000000002E-2</v>
      </c>
      <c r="AC239">
        <f t="shared" si="51"/>
        <v>1.8116700000000041E-2</v>
      </c>
    </row>
    <row r="240" spans="1:29" x14ac:dyDescent="0.2">
      <c r="A240" s="1">
        <v>44530</v>
      </c>
      <c r="B240">
        <v>56.470588235294102</v>
      </c>
      <c r="C240">
        <v>110.2</v>
      </c>
      <c r="D240">
        <v>98.603204059999996</v>
      </c>
      <c r="E240">
        <v>122.8</v>
      </c>
      <c r="F240">
        <v>6278.2379019999998</v>
      </c>
      <c r="G240">
        <v>10984.177814000001</v>
      </c>
      <c r="H240">
        <v>284014.2</v>
      </c>
      <c r="I240">
        <v>412715</v>
      </c>
      <c r="J240">
        <v>7200.88</v>
      </c>
      <c r="K240">
        <v>50.357100000000003</v>
      </c>
      <c r="L240">
        <v>117718.12696881</v>
      </c>
      <c r="M240">
        <v>0.05</v>
      </c>
      <c r="N240">
        <v>0.44844577000000002</v>
      </c>
      <c r="O240" s="2">
        <v>0.107874865156422</v>
      </c>
      <c r="P240">
        <v>1.0893246187363901</v>
      </c>
      <c r="Q240">
        <f t="shared" si="49"/>
        <v>0.10781672203456667</v>
      </c>
      <c r="R240">
        <f t="shared" si="39"/>
        <v>0.63723474622586118</v>
      </c>
      <c r="S240">
        <f t="shared" si="40"/>
        <v>2.5564523264046386</v>
      </c>
      <c r="T240">
        <f t="shared" si="41"/>
        <v>0.81766604372455387</v>
      </c>
      <c r="U240">
        <f t="shared" si="42"/>
        <v>-2.2396211304001454</v>
      </c>
      <c r="V240">
        <f t="shared" si="43"/>
        <v>7.0674957300718457</v>
      </c>
      <c r="W240">
        <f t="shared" si="44"/>
        <v>11.528445381273976</v>
      </c>
      <c r="X240">
        <f t="shared" si="45"/>
        <v>26.266063877950874</v>
      </c>
      <c r="Y240">
        <f t="shared" si="46"/>
        <v>2.0509179408366931</v>
      </c>
      <c r="Z240">
        <f t="shared" si="47"/>
        <v>-0.77542616416816401</v>
      </c>
      <c r="AA240">
        <f t="shared" si="48"/>
        <v>2.876122267571823</v>
      </c>
      <c r="AB240">
        <f t="shared" si="50"/>
        <v>0</v>
      </c>
      <c r="AC240">
        <f t="shared" si="51"/>
        <v>-9.1256100000000062E-3</v>
      </c>
    </row>
    <row r="241" spans="1:29" x14ac:dyDescent="0.2">
      <c r="A241" s="1">
        <v>44561</v>
      </c>
      <c r="B241">
        <v>56.592292089249497</v>
      </c>
      <c r="C241">
        <v>110.5</v>
      </c>
      <c r="D241">
        <v>93.637712809999996</v>
      </c>
      <c r="E241">
        <v>123.3</v>
      </c>
      <c r="F241">
        <v>6281.6047719999997</v>
      </c>
      <c r="G241">
        <v>11395.67914</v>
      </c>
      <c r="H241">
        <v>231309.96</v>
      </c>
      <c r="I241">
        <v>569315</v>
      </c>
      <c r="J241">
        <v>7122.63</v>
      </c>
      <c r="K241">
        <v>50.247799999999998</v>
      </c>
      <c r="L241">
        <v>122112.21295011</v>
      </c>
      <c r="M241">
        <v>0.06</v>
      </c>
      <c r="N241">
        <v>0.49390424999999999</v>
      </c>
      <c r="O241" s="2">
        <v>0.21551724137931799</v>
      </c>
      <c r="P241">
        <v>0.32362459546926797</v>
      </c>
      <c r="Q241">
        <f t="shared" si="49"/>
        <v>0.21528533611013143</v>
      </c>
      <c r="R241">
        <f t="shared" si="39"/>
        <v>0.27186242389934639</v>
      </c>
      <c r="S241">
        <f t="shared" si="40"/>
        <v>-5.1670539646153841</v>
      </c>
      <c r="T241">
        <f t="shared" si="41"/>
        <v>0.40633944572564173</v>
      </c>
      <c r="U241">
        <f t="shared" si="42"/>
        <v>5.361325245923991E-2</v>
      </c>
      <c r="V241">
        <f t="shared" si="43"/>
        <v>3.6778403955558745</v>
      </c>
      <c r="W241">
        <f t="shared" si="44"/>
        <v>-20.526560764115835</v>
      </c>
      <c r="X241">
        <f t="shared" si="45"/>
        <v>32.167660164468728</v>
      </c>
      <c r="Y241">
        <f t="shared" si="46"/>
        <v>-1.0926201534092275</v>
      </c>
      <c r="Z241">
        <f t="shared" si="47"/>
        <v>-0.21728572465804752</v>
      </c>
      <c r="AA241">
        <f t="shared" si="48"/>
        <v>3.6647387937665616</v>
      </c>
      <c r="AB241">
        <f t="shared" si="50"/>
        <v>9.999999999999995E-3</v>
      </c>
      <c r="AC241">
        <f t="shared" si="51"/>
        <v>4.5458479999999968E-2</v>
      </c>
    </row>
    <row r="242" spans="1:29" x14ac:dyDescent="0.2">
      <c r="A242" s="1">
        <v>44592</v>
      </c>
      <c r="B242">
        <v>57.261663286004001</v>
      </c>
      <c r="C242">
        <v>111.7</v>
      </c>
      <c r="D242">
        <v>92.368846759999997</v>
      </c>
      <c r="E242">
        <v>124</v>
      </c>
      <c r="F242">
        <v>6046.755572</v>
      </c>
      <c r="G242">
        <v>10559.012524</v>
      </c>
      <c r="H242">
        <v>278075</v>
      </c>
      <c r="I242">
        <v>301457</v>
      </c>
      <c r="J242">
        <v>7361.65</v>
      </c>
      <c r="K242">
        <v>51.235300000000002</v>
      </c>
      <c r="L242">
        <v>119764.77524956</v>
      </c>
      <c r="M242">
        <v>0.24</v>
      </c>
      <c r="N242">
        <v>0.41226940000000001</v>
      </c>
      <c r="O242" s="2">
        <v>1.1827956989247199</v>
      </c>
      <c r="P242">
        <v>3.9779005524861901</v>
      </c>
      <c r="Q242">
        <f t="shared" si="49"/>
        <v>1.1758553438077037</v>
      </c>
      <c r="R242">
        <f t="shared" si="39"/>
        <v>1.080118511734748</v>
      </c>
      <c r="S242">
        <f t="shared" si="40"/>
        <v>-1.3643451451366717</v>
      </c>
      <c r="T242">
        <f t="shared" si="41"/>
        <v>0.56611554347382798</v>
      </c>
      <c r="U242">
        <f t="shared" si="42"/>
        <v>-3.81036256706351</v>
      </c>
      <c r="V242">
        <f t="shared" si="43"/>
        <v>-7.625449782529091</v>
      </c>
      <c r="W242">
        <f t="shared" si="44"/>
        <v>18.413223220800354</v>
      </c>
      <c r="X242">
        <f t="shared" si="45"/>
        <v>-63.580649799294164</v>
      </c>
      <c r="Y242">
        <f t="shared" si="46"/>
        <v>3.300705315612789</v>
      </c>
      <c r="Z242">
        <f t="shared" si="47"/>
        <v>1.9461982720605195</v>
      </c>
      <c r="AA242">
        <f t="shared" si="48"/>
        <v>-1.9410787466234838</v>
      </c>
      <c r="AB242">
        <f t="shared" si="50"/>
        <v>0.18</v>
      </c>
      <c r="AC242">
        <f t="shared" si="51"/>
        <v>-8.1634849999999981E-2</v>
      </c>
    </row>
    <row r="243" spans="1:29" x14ac:dyDescent="0.2">
      <c r="A243" s="1">
        <v>44620</v>
      </c>
      <c r="B243">
        <v>57.626774847870202</v>
      </c>
      <c r="C243">
        <v>111.8</v>
      </c>
      <c r="D243">
        <v>93.922240270000003</v>
      </c>
      <c r="E243">
        <v>125.5</v>
      </c>
      <c r="F243">
        <v>6201.4119199999996</v>
      </c>
      <c r="G243">
        <v>10185.728977999999</v>
      </c>
      <c r="H243">
        <v>212402</v>
      </c>
      <c r="I243">
        <v>317202</v>
      </c>
      <c r="J243">
        <v>7311.01</v>
      </c>
      <c r="K243">
        <v>51.280700000000003</v>
      </c>
      <c r="L243">
        <v>120646.71508675</v>
      </c>
      <c r="M243">
        <v>0.37</v>
      </c>
      <c r="N243">
        <v>0.39962899000000002</v>
      </c>
      <c r="O243" s="2">
        <v>0.63761955366631895</v>
      </c>
      <c r="P243">
        <v>4.2951541850220298</v>
      </c>
      <c r="Q243">
        <f t="shared" si="49"/>
        <v>0.63559536006998307</v>
      </c>
      <c r="R243">
        <f t="shared" si="39"/>
        <v>8.9485464584370553E-2</v>
      </c>
      <c r="S243">
        <f t="shared" si="40"/>
        <v>1.6677443234648981</v>
      </c>
      <c r="T243">
        <f t="shared" si="41"/>
        <v>1.2024192966801812</v>
      </c>
      <c r="U243">
        <f t="shared" si="42"/>
        <v>2.5255136048840083</v>
      </c>
      <c r="V243">
        <f t="shared" si="43"/>
        <v>-3.5992142116552941</v>
      </c>
      <c r="W243">
        <f t="shared" si="44"/>
        <v>-26.941015595878447</v>
      </c>
      <c r="X243">
        <f t="shared" si="45"/>
        <v>5.0911409147219802</v>
      </c>
      <c r="Y243">
        <f t="shared" si="46"/>
        <v>-0.69026612855545544</v>
      </c>
      <c r="Z243">
        <f t="shared" si="47"/>
        <v>8.8571545842587959E-2</v>
      </c>
      <c r="AA243">
        <f t="shared" si="48"/>
        <v>0.73369520920275222</v>
      </c>
      <c r="AB243">
        <f t="shared" si="50"/>
        <v>0.13</v>
      </c>
      <c r="AC243">
        <f t="shared" si="51"/>
        <v>-1.2640409999999991E-2</v>
      </c>
    </row>
    <row r="244" spans="1:29" x14ac:dyDescent="0.2">
      <c r="A244" s="1">
        <v>44651</v>
      </c>
      <c r="B244">
        <v>58.174442190669303</v>
      </c>
      <c r="C244">
        <v>112.5</v>
      </c>
      <c r="D244">
        <v>98.981905040000001</v>
      </c>
      <c r="E244">
        <v>128.1</v>
      </c>
      <c r="F244">
        <v>7182.9197670000003</v>
      </c>
      <c r="G244">
        <v>11768.488512</v>
      </c>
      <c r="H244">
        <v>293883</v>
      </c>
      <c r="I244">
        <v>481549</v>
      </c>
      <c r="J244">
        <v>7203.47</v>
      </c>
      <c r="K244">
        <v>52.073999999999998</v>
      </c>
      <c r="L244">
        <v>120678.71468149</v>
      </c>
      <c r="M244">
        <v>0.51</v>
      </c>
      <c r="N244">
        <v>0.49946394</v>
      </c>
      <c r="O244" s="2">
        <v>0.95036958817316297</v>
      </c>
      <c r="P244">
        <v>5.2863436123347798</v>
      </c>
      <c r="Q244">
        <f t="shared" si="49"/>
        <v>0.94588198653215505</v>
      </c>
      <c r="R244">
        <f t="shared" si="39"/>
        <v>0.62416609234761333</v>
      </c>
      <c r="S244">
        <f t="shared" si="40"/>
        <v>5.2469847299757797</v>
      </c>
      <c r="T244">
        <f t="shared" si="41"/>
        <v>2.0505450330849881</v>
      </c>
      <c r="U244">
        <f t="shared" si="42"/>
        <v>14.692895802782902</v>
      </c>
      <c r="V244">
        <f t="shared" si="43"/>
        <v>14.443787352992107</v>
      </c>
      <c r="W244">
        <f t="shared" si="44"/>
        <v>32.470102342892901</v>
      </c>
      <c r="X244">
        <f t="shared" si="45"/>
        <v>41.746919646610522</v>
      </c>
      <c r="Y244">
        <f t="shared" si="46"/>
        <v>-1.481857674365505</v>
      </c>
      <c r="Z244">
        <f t="shared" si="47"/>
        <v>1.5351320824893964</v>
      </c>
      <c r="AA244">
        <f t="shared" si="48"/>
        <v>2.6519869835752601E-2</v>
      </c>
      <c r="AB244">
        <f t="shared" si="50"/>
        <v>0.14000000000000001</v>
      </c>
      <c r="AC244">
        <f t="shared" si="51"/>
        <v>9.9834949999999978E-2</v>
      </c>
    </row>
    <row r="245" spans="1:29" x14ac:dyDescent="0.2">
      <c r="A245" s="1">
        <v>44681</v>
      </c>
      <c r="B245">
        <v>58.478701825557799</v>
      </c>
      <c r="C245">
        <v>113.4</v>
      </c>
      <c r="D245">
        <v>86.149259209999997</v>
      </c>
      <c r="E245">
        <v>128.9</v>
      </c>
      <c r="F245">
        <v>6141.8047040000001</v>
      </c>
      <c r="G245">
        <v>11462.843204000001</v>
      </c>
      <c r="H245">
        <v>347948.68</v>
      </c>
      <c r="I245">
        <v>343013</v>
      </c>
      <c r="J245">
        <v>6731.25</v>
      </c>
      <c r="K245">
        <v>51.975999999999999</v>
      </c>
      <c r="L245">
        <v>121532.30675201</v>
      </c>
      <c r="M245">
        <v>0.83</v>
      </c>
      <c r="N245">
        <v>0.4553661</v>
      </c>
      <c r="O245" s="2">
        <v>0.52301255230125798</v>
      </c>
      <c r="P245">
        <v>6.3053097345132603</v>
      </c>
      <c r="Q245">
        <f t="shared" si="49"/>
        <v>0.52164959188922544</v>
      </c>
      <c r="R245">
        <f t="shared" si="39"/>
        <v>0.79681696491768816</v>
      </c>
      <c r="S245">
        <f t="shared" si="40"/>
        <v>-13.885569195729824</v>
      </c>
      <c r="T245">
        <f t="shared" si="41"/>
        <v>0.622570104245315</v>
      </c>
      <c r="U245">
        <f t="shared" si="42"/>
        <v>-15.658732848056861</v>
      </c>
      <c r="V245">
        <f t="shared" si="43"/>
        <v>-2.6314715738576866</v>
      </c>
      <c r="W245">
        <f t="shared" si="44"/>
        <v>16.887326868691297</v>
      </c>
      <c r="X245">
        <f t="shared" si="45"/>
        <v>-33.923964405480476</v>
      </c>
      <c r="Y245">
        <f t="shared" si="46"/>
        <v>-6.7801992445969086</v>
      </c>
      <c r="Z245">
        <f t="shared" si="47"/>
        <v>-0.18837103119329157</v>
      </c>
      <c r="AA245">
        <f t="shared" si="48"/>
        <v>0.70483630290245725</v>
      </c>
      <c r="AB245">
        <f t="shared" si="50"/>
        <v>0.31999999999999995</v>
      </c>
      <c r="AC245">
        <f t="shared" si="51"/>
        <v>-4.4097839999999999E-2</v>
      </c>
    </row>
    <row r="246" spans="1:29" x14ac:dyDescent="0.2">
      <c r="A246" s="1">
        <v>44712</v>
      </c>
      <c r="B246">
        <v>58.904665314401598</v>
      </c>
      <c r="C246">
        <v>113.9</v>
      </c>
      <c r="D246">
        <v>91.664140200000006</v>
      </c>
      <c r="E246">
        <v>128.80000000000001</v>
      </c>
      <c r="F246">
        <v>6319.2565809999996</v>
      </c>
      <c r="G246">
        <v>11879.47617</v>
      </c>
      <c r="H246">
        <v>304915</v>
      </c>
      <c r="I246">
        <v>451700</v>
      </c>
      <c r="J246">
        <v>6774.68</v>
      </c>
      <c r="K246">
        <v>52.361800000000002</v>
      </c>
      <c r="L246">
        <v>120995.91146827</v>
      </c>
      <c r="M246">
        <v>1.1299999999999999</v>
      </c>
      <c r="N246">
        <v>0.57581340000000003</v>
      </c>
      <c r="O246" s="2">
        <v>0.72840790842873104</v>
      </c>
      <c r="P246">
        <v>7.1982281284606904</v>
      </c>
      <c r="Q246">
        <f t="shared" si="49"/>
        <v>0.72576783062842909</v>
      </c>
      <c r="R246">
        <f t="shared" si="39"/>
        <v>0.43994791594848426</v>
      </c>
      <c r="S246">
        <f t="shared" si="40"/>
        <v>6.2049883066357925</v>
      </c>
      <c r="T246">
        <f t="shared" si="41"/>
        <v>-7.7609627488840316E-2</v>
      </c>
      <c r="U246">
        <f t="shared" si="42"/>
        <v>2.8482946947011358</v>
      </c>
      <c r="V246">
        <f t="shared" si="43"/>
        <v>3.5701440932377935</v>
      </c>
      <c r="W246">
        <f t="shared" si="44"/>
        <v>-13.202194839319231</v>
      </c>
      <c r="X246">
        <f t="shared" si="45"/>
        <v>27.524989533820303</v>
      </c>
      <c r="Y246">
        <f t="shared" si="46"/>
        <v>0.6431271255390012</v>
      </c>
      <c r="Z246">
        <f t="shared" si="47"/>
        <v>0.73952442598990165</v>
      </c>
      <c r="AA246">
        <f t="shared" si="48"/>
        <v>-0.44233711217431049</v>
      </c>
      <c r="AB246">
        <f t="shared" si="50"/>
        <v>0.29999999999999993</v>
      </c>
      <c r="AC246">
        <f t="shared" si="51"/>
        <v>0.12044730000000003</v>
      </c>
    </row>
    <row r="247" spans="1:29" x14ac:dyDescent="0.2">
      <c r="A247" s="1">
        <v>44742</v>
      </c>
      <c r="B247">
        <v>59.6348884381338</v>
      </c>
      <c r="C247">
        <v>114.9</v>
      </c>
      <c r="D247">
        <v>92.179897769999997</v>
      </c>
      <c r="E247">
        <v>130.1</v>
      </c>
      <c r="F247">
        <v>6644.1968390000002</v>
      </c>
      <c r="G247">
        <v>12521.684502</v>
      </c>
      <c r="H247">
        <v>290268</v>
      </c>
      <c r="I247">
        <v>506791</v>
      </c>
      <c r="J247">
        <v>6155.43</v>
      </c>
      <c r="K247">
        <v>53.5685</v>
      </c>
      <c r="L247">
        <v>115939.9906661</v>
      </c>
      <c r="M247">
        <v>1.66</v>
      </c>
      <c r="N247">
        <v>0.76548656999999998</v>
      </c>
      <c r="O247">
        <v>1.2396694214876001</v>
      </c>
      <c r="P247">
        <v>7.8107810781078202</v>
      </c>
      <c r="Q247">
        <f t="shared" si="49"/>
        <v>1.2320484388039779</v>
      </c>
      <c r="R247">
        <f t="shared" si="39"/>
        <v>0.874131440157358</v>
      </c>
      <c r="S247">
        <f t="shared" si="40"/>
        <v>0.56108311018357726</v>
      </c>
      <c r="T247">
        <f t="shared" si="41"/>
        <v>1.0042571848206192</v>
      </c>
      <c r="U247">
        <f t="shared" si="42"/>
        <v>5.0142246241307573</v>
      </c>
      <c r="V247">
        <f t="shared" si="43"/>
        <v>5.2649681981768408</v>
      </c>
      <c r="W247">
        <f t="shared" si="44"/>
        <v>-4.9228415082963153</v>
      </c>
      <c r="X247">
        <f t="shared" si="45"/>
        <v>11.508044714413247</v>
      </c>
      <c r="Y247">
        <f t="shared" si="46"/>
        <v>-9.5857514080870079</v>
      </c>
      <c r="Z247">
        <f t="shared" si="47"/>
        <v>2.2783890916025311</v>
      </c>
      <c r="AA247">
        <f t="shared" si="48"/>
        <v>-4.2684020102145546</v>
      </c>
      <c r="AB247">
        <f t="shared" si="50"/>
        <v>0.53</v>
      </c>
      <c r="AC247">
        <f t="shared" si="51"/>
        <v>0.18967316999999995</v>
      </c>
    </row>
    <row r="248" spans="1:29" x14ac:dyDescent="0.2">
      <c r="A248" s="1">
        <v>44773</v>
      </c>
      <c r="B248">
        <v>60.121703853955303</v>
      </c>
      <c r="C248">
        <v>115.8</v>
      </c>
      <c r="D248">
        <v>93.633869739999994</v>
      </c>
      <c r="E248">
        <v>129.9</v>
      </c>
      <c r="F248">
        <v>6217.757192</v>
      </c>
      <c r="G248">
        <v>12214.997745000001</v>
      </c>
      <c r="H248">
        <v>308632</v>
      </c>
      <c r="I248">
        <v>395395</v>
      </c>
      <c r="J248">
        <v>6315.93</v>
      </c>
      <c r="K248">
        <v>55.892499999999998</v>
      </c>
      <c r="L248">
        <v>112844.84885321</v>
      </c>
      <c r="M248">
        <v>2.34</v>
      </c>
      <c r="N248">
        <v>1.1407389400000001</v>
      </c>
      <c r="O248">
        <v>0.81632653061224303</v>
      </c>
      <c r="P248">
        <v>8.2146768893756708</v>
      </c>
      <c r="Q248">
        <f t="shared" si="49"/>
        <v>0.81301260832503086</v>
      </c>
      <c r="R248">
        <f t="shared" si="39"/>
        <v>0.78023802841848</v>
      </c>
      <c r="S248">
        <f t="shared" si="40"/>
        <v>1.5650095960035419</v>
      </c>
      <c r="T248">
        <f t="shared" si="41"/>
        <v>-0.15384618419056198</v>
      </c>
      <c r="U248">
        <f t="shared" si="42"/>
        <v>-6.6334556230406765</v>
      </c>
      <c r="V248">
        <f t="shared" si="43"/>
        <v>-2.479738140918009</v>
      </c>
      <c r="W248">
        <f t="shared" si="44"/>
        <v>6.1344994496601535</v>
      </c>
      <c r="X248">
        <f t="shared" si="45"/>
        <v>-24.821342457048555</v>
      </c>
      <c r="Y248">
        <f t="shared" si="46"/>
        <v>2.5740394270996414</v>
      </c>
      <c r="Z248">
        <f t="shared" si="47"/>
        <v>4.2468994248123026</v>
      </c>
      <c r="AA248">
        <f t="shared" si="48"/>
        <v>-2.705887914535877</v>
      </c>
      <c r="AB248">
        <f t="shared" si="50"/>
        <v>0.67999999999999994</v>
      </c>
      <c r="AC248">
        <f t="shared" si="51"/>
        <v>0.37525237000000011</v>
      </c>
    </row>
    <row r="249" spans="1:29" x14ac:dyDescent="0.2">
      <c r="A249" s="1">
        <v>44804</v>
      </c>
      <c r="B249">
        <v>60</v>
      </c>
      <c r="C249">
        <v>116.3</v>
      </c>
      <c r="D249">
        <v>94.120440979999998</v>
      </c>
      <c r="E249">
        <v>130</v>
      </c>
      <c r="F249">
        <v>6430.2246999999998</v>
      </c>
      <c r="G249">
        <v>12455.32753</v>
      </c>
      <c r="H249">
        <v>332440</v>
      </c>
      <c r="I249">
        <v>404476</v>
      </c>
      <c r="J249">
        <v>6583.65</v>
      </c>
      <c r="K249">
        <v>55.750100000000003</v>
      </c>
      <c r="L249">
        <v>112235.51090751</v>
      </c>
      <c r="M249">
        <v>2.87</v>
      </c>
      <c r="N249">
        <v>1.76759859</v>
      </c>
      <c r="O249">
        <v>-0.20242914979757801</v>
      </c>
      <c r="P249">
        <v>7.4074074074074003</v>
      </c>
      <c r="Q249">
        <f t="shared" si="49"/>
        <v>-0.20263431452312491</v>
      </c>
      <c r="R249">
        <f t="shared" si="39"/>
        <v>0.4308494385723961</v>
      </c>
      <c r="S249">
        <f t="shared" si="40"/>
        <v>0.51830749175897883</v>
      </c>
      <c r="T249">
        <f t="shared" si="41"/>
        <v>7.6952677902851804E-2</v>
      </c>
      <c r="U249">
        <f t="shared" si="42"/>
        <v>3.3600221544440969</v>
      </c>
      <c r="V249">
        <f t="shared" si="43"/>
        <v>1.9483925337232404</v>
      </c>
      <c r="W249">
        <f t="shared" si="44"/>
        <v>7.4309764029228997</v>
      </c>
      <c r="X249">
        <f t="shared" si="45"/>
        <v>2.2707136994827368</v>
      </c>
      <c r="Y249">
        <f t="shared" si="46"/>
        <v>4.1514289419937143</v>
      </c>
      <c r="Z249">
        <f t="shared" si="47"/>
        <v>-0.25509989416844858</v>
      </c>
      <c r="AA249">
        <f t="shared" si="48"/>
        <v>-0.54144167439133262</v>
      </c>
      <c r="AB249">
        <f t="shared" si="50"/>
        <v>0.53000000000000025</v>
      </c>
      <c r="AC249">
        <f t="shared" si="51"/>
        <v>0.62685964999999988</v>
      </c>
    </row>
    <row r="250" spans="1:29" x14ac:dyDescent="0.2">
      <c r="A250" s="1">
        <v>44834</v>
      </c>
      <c r="B250">
        <v>60.425963488843799</v>
      </c>
      <c r="C250">
        <v>116.8</v>
      </c>
      <c r="D250">
        <v>95.472744120000002</v>
      </c>
      <c r="E250">
        <v>131</v>
      </c>
      <c r="F250">
        <v>7182.6653740000002</v>
      </c>
      <c r="G250">
        <v>12011.514095</v>
      </c>
      <c r="H250">
        <v>288814</v>
      </c>
      <c r="I250">
        <v>468574</v>
      </c>
      <c r="J250">
        <v>5741.07</v>
      </c>
      <c r="K250">
        <v>57.433799999999998</v>
      </c>
      <c r="L250">
        <v>106984.38085245001</v>
      </c>
      <c r="M250">
        <v>3.22</v>
      </c>
      <c r="N250">
        <v>2.4769860700000002</v>
      </c>
      <c r="O250" s="2">
        <v>0.70993914807303304</v>
      </c>
      <c r="P250">
        <v>7.5839653304442098</v>
      </c>
      <c r="Q250">
        <f t="shared" si="49"/>
        <v>0.70743094425369757</v>
      </c>
      <c r="R250">
        <f t="shared" si="39"/>
        <v>0.42900108695079131</v>
      </c>
      <c r="S250">
        <f t="shared" si="40"/>
        <v>1.4265555723445753</v>
      </c>
      <c r="T250">
        <f t="shared" si="41"/>
        <v>0.7662872745569097</v>
      </c>
      <c r="U250">
        <f t="shared" si="42"/>
        <v>11.066105297326507</v>
      </c>
      <c r="V250">
        <f t="shared" si="43"/>
        <v>-3.6282747766638952</v>
      </c>
      <c r="W250">
        <f t="shared" si="44"/>
        <v>-14.067651038680609</v>
      </c>
      <c r="X250">
        <f t="shared" si="45"/>
        <v>14.710163788366351</v>
      </c>
      <c r="Y250">
        <f t="shared" si="46"/>
        <v>-13.694369867911387</v>
      </c>
      <c r="Z250">
        <f t="shared" si="47"/>
        <v>2.9753776134910566</v>
      </c>
      <c r="AA250">
        <f t="shared" si="48"/>
        <v>-4.7916589050842777</v>
      </c>
      <c r="AB250">
        <f t="shared" si="50"/>
        <v>0.35000000000000009</v>
      </c>
      <c r="AC250">
        <f t="shared" si="51"/>
        <v>0.70938748000000018</v>
      </c>
    </row>
    <row r="251" spans="1:29" x14ac:dyDescent="0.2">
      <c r="A251" s="1">
        <v>44865</v>
      </c>
      <c r="B251">
        <v>60.486815415821503</v>
      </c>
      <c r="C251">
        <v>117.9</v>
      </c>
      <c r="D251">
        <v>102.5392705</v>
      </c>
      <c r="E251">
        <v>131.1</v>
      </c>
      <c r="F251">
        <v>7711.1170110000003</v>
      </c>
      <c r="G251">
        <v>11024.213329</v>
      </c>
      <c r="H251">
        <v>288873</v>
      </c>
      <c r="I251">
        <v>387934</v>
      </c>
      <c r="J251">
        <v>6153.43</v>
      </c>
      <c r="K251">
        <v>58.8247</v>
      </c>
      <c r="L251">
        <v>107789.55481787</v>
      </c>
      <c r="M251">
        <v>4.0599999999999996</v>
      </c>
      <c r="N251">
        <v>2.9135174899999998</v>
      </c>
      <c r="O251" s="2">
        <v>0.10070493454177901</v>
      </c>
      <c r="P251">
        <v>7.22761596548004</v>
      </c>
      <c r="Q251">
        <f t="shared" si="49"/>
        <v>0.1006542611401694</v>
      </c>
      <c r="R251">
        <f t="shared" si="39"/>
        <v>0.93737371491987354</v>
      </c>
      <c r="S251">
        <f t="shared" si="40"/>
        <v>7.1405047166388789</v>
      </c>
      <c r="T251">
        <f t="shared" si="41"/>
        <v>7.6306756850264862E-2</v>
      </c>
      <c r="U251">
        <f t="shared" si="42"/>
        <v>7.0992519111657897</v>
      </c>
      <c r="V251">
        <f t="shared" si="43"/>
        <v>-8.577163226274152</v>
      </c>
      <c r="W251">
        <f t="shared" si="44"/>
        <v>2.0426286277918555E-2</v>
      </c>
      <c r="X251">
        <f t="shared" si="45"/>
        <v>-18.885881805137828</v>
      </c>
      <c r="Y251">
        <f t="shared" si="46"/>
        <v>6.9364045816770137</v>
      </c>
      <c r="Z251">
        <f t="shared" si="47"/>
        <v>2.3928854532415467</v>
      </c>
      <c r="AA251">
        <f t="shared" si="48"/>
        <v>0.74979092323510055</v>
      </c>
      <c r="AB251">
        <f t="shared" si="50"/>
        <v>0.83999999999999941</v>
      </c>
      <c r="AC251">
        <f t="shared" si="51"/>
        <v>0.43653141999999967</v>
      </c>
    </row>
    <row r="252" spans="1:29" x14ac:dyDescent="0.2">
      <c r="A252" s="1">
        <v>44895</v>
      </c>
      <c r="B252">
        <v>60</v>
      </c>
      <c r="C252">
        <v>119</v>
      </c>
      <c r="D252">
        <v>104.95698157</v>
      </c>
      <c r="E252">
        <v>131.6</v>
      </c>
      <c r="F252">
        <v>7100.1982310000003</v>
      </c>
      <c r="G252">
        <v>10817.610608000001</v>
      </c>
      <c r="H252">
        <v>331061</v>
      </c>
      <c r="I252">
        <v>454990</v>
      </c>
      <c r="J252">
        <v>6780.78</v>
      </c>
      <c r="K252">
        <v>57.652299999999997</v>
      </c>
      <c r="L252">
        <v>112071.55938758</v>
      </c>
      <c r="M252">
        <v>4.2699999999999996</v>
      </c>
      <c r="N252">
        <v>3.28609996</v>
      </c>
      <c r="O252">
        <v>-0.80482897384305596</v>
      </c>
      <c r="P252">
        <v>6.2499999999999902</v>
      </c>
      <c r="Q252">
        <f t="shared" si="49"/>
        <v>-0.80808520539386719</v>
      </c>
      <c r="R252">
        <f t="shared" si="39"/>
        <v>0.92866855682041705</v>
      </c>
      <c r="S252">
        <f t="shared" si="40"/>
        <v>2.3304714841099865</v>
      </c>
      <c r="T252">
        <f t="shared" si="41"/>
        <v>0.38066281215627673</v>
      </c>
      <c r="U252">
        <f t="shared" si="42"/>
        <v>-8.2540351774847842</v>
      </c>
      <c r="V252">
        <f t="shared" si="43"/>
        <v>-1.8918647430487754</v>
      </c>
      <c r="W252">
        <f t="shared" si="44"/>
        <v>13.631550326715425</v>
      </c>
      <c r="X252">
        <f t="shared" si="45"/>
        <v>15.944021862613406</v>
      </c>
      <c r="Y252">
        <f t="shared" si="46"/>
        <v>9.7082489657338265</v>
      </c>
      <c r="Z252">
        <f t="shared" si="47"/>
        <v>-2.0131692884994412</v>
      </c>
      <c r="AA252">
        <f t="shared" si="48"/>
        <v>3.8956830676497427</v>
      </c>
      <c r="AB252">
        <f t="shared" si="50"/>
        <v>0.20999999999999996</v>
      </c>
      <c r="AC252">
        <f t="shared" si="51"/>
        <v>0.37258247000000022</v>
      </c>
    </row>
    <row r="253" spans="1:29" x14ac:dyDescent="0.2">
      <c r="A253" s="1">
        <v>44926</v>
      </c>
      <c r="B253">
        <v>59.452332657200799</v>
      </c>
      <c r="C253">
        <v>119.4</v>
      </c>
      <c r="D253">
        <v>97.857442140000003</v>
      </c>
      <c r="E253">
        <v>131.5</v>
      </c>
      <c r="F253">
        <v>5799.2383490000002</v>
      </c>
      <c r="G253">
        <v>10320.21327</v>
      </c>
      <c r="H253">
        <v>268193</v>
      </c>
      <c r="I253">
        <v>646559</v>
      </c>
      <c r="J253">
        <v>6566.39</v>
      </c>
      <c r="K253">
        <v>55.683900000000001</v>
      </c>
      <c r="L253">
        <v>118022.06730246999</v>
      </c>
      <c r="M253">
        <v>4.3</v>
      </c>
      <c r="N253">
        <v>3.6883593299999999</v>
      </c>
      <c r="O253">
        <v>-0.91277890466531597</v>
      </c>
      <c r="P253">
        <v>5.0537634408601901</v>
      </c>
      <c r="Q253">
        <f t="shared" si="49"/>
        <v>-0.91697025598528792</v>
      </c>
      <c r="R253">
        <f t="shared" si="39"/>
        <v>0.33557078469723151</v>
      </c>
      <c r="S253">
        <f t="shared" si="40"/>
        <v>-7.0038819307289186</v>
      </c>
      <c r="T253">
        <f t="shared" si="41"/>
        <v>-7.6016727339749499E-2</v>
      </c>
      <c r="U253">
        <f t="shared" si="42"/>
        <v>-20.239611372534299</v>
      </c>
      <c r="V253">
        <f t="shared" si="43"/>
        <v>-4.7070992440405188</v>
      </c>
      <c r="W253">
        <f t="shared" si="44"/>
        <v>-21.059577784641238</v>
      </c>
      <c r="X253">
        <f t="shared" si="45"/>
        <v>35.138901399464572</v>
      </c>
      <c r="Y253">
        <f t="shared" si="46"/>
        <v>-3.2127925374448787</v>
      </c>
      <c r="Z253">
        <f t="shared" si="47"/>
        <v>-3.4739085166215253</v>
      </c>
      <c r="AA253">
        <f t="shared" si="48"/>
        <v>5.173402764514103</v>
      </c>
      <c r="AB253">
        <f t="shared" si="50"/>
        <v>3.0000000000000249E-2</v>
      </c>
      <c r="AC253">
        <f t="shared" si="51"/>
        <v>0.40225936999999989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4C351-0BF6-BF44-B5D5-538DDA240A31}">
  <dimension ref="A1:D29"/>
  <sheetViews>
    <sheetView workbookViewId="0">
      <selection activeCell="D29" sqref="D29"/>
    </sheetView>
  </sheetViews>
  <sheetFormatPr baseColWidth="10" defaultRowHeight="16" x14ac:dyDescent="0.2"/>
  <cols>
    <col min="2" max="2" width="16" bestFit="1" customWidth="1"/>
  </cols>
  <sheetData>
    <row r="1" spans="1:4" x14ac:dyDescent="0.2">
      <c r="B1" s="3" t="s">
        <v>27</v>
      </c>
      <c r="C1" s="3" t="s">
        <v>28</v>
      </c>
      <c r="D1" s="3" t="s">
        <v>29</v>
      </c>
    </row>
    <row r="2" spans="1:4" x14ac:dyDescent="0.2">
      <c r="A2">
        <v>1</v>
      </c>
      <c r="B2" t="s">
        <v>1</v>
      </c>
      <c r="C2">
        <v>28</v>
      </c>
      <c r="D2">
        <v>0</v>
      </c>
    </row>
    <row r="3" spans="1:4" x14ac:dyDescent="0.2">
      <c r="A3">
        <v>2</v>
      </c>
      <c r="B3" t="s">
        <v>4</v>
      </c>
      <c r="C3" s="4">
        <v>28</v>
      </c>
      <c r="D3">
        <v>0</v>
      </c>
    </row>
    <row r="4" spans="1:4" x14ac:dyDescent="0.2">
      <c r="A4">
        <v>3</v>
      </c>
      <c r="B4" t="s">
        <v>5</v>
      </c>
      <c r="C4">
        <v>38</v>
      </c>
      <c r="D4">
        <v>0</v>
      </c>
    </row>
    <row r="5" spans="1:4" x14ac:dyDescent="0.2">
      <c r="A5">
        <v>4</v>
      </c>
      <c r="B5" t="s">
        <v>6</v>
      </c>
      <c r="C5" s="4">
        <v>28</v>
      </c>
      <c r="D5">
        <v>0</v>
      </c>
    </row>
    <row r="6" spans="1:4" x14ac:dyDescent="0.2">
      <c r="A6">
        <v>5</v>
      </c>
      <c r="B6" t="s">
        <v>8</v>
      </c>
      <c r="C6">
        <v>42</v>
      </c>
      <c r="D6">
        <v>0</v>
      </c>
    </row>
    <row r="7" spans="1:4" x14ac:dyDescent="0.2">
      <c r="A7">
        <v>6</v>
      </c>
      <c r="B7" t="s">
        <v>7</v>
      </c>
      <c r="C7">
        <v>42</v>
      </c>
      <c r="D7">
        <v>0</v>
      </c>
    </row>
    <row r="8" spans="1:4" x14ac:dyDescent="0.2">
      <c r="A8">
        <v>7</v>
      </c>
      <c r="B8" t="s">
        <v>9</v>
      </c>
      <c r="C8">
        <v>28</v>
      </c>
      <c r="D8">
        <v>0</v>
      </c>
    </row>
    <row r="9" spans="1:4" x14ac:dyDescent="0.2">
      <c r="A9">
        <v>8</v>
      </c>
      <c r="B9" t="s">
        <v>10</v>
      </c>
      <c r="C9">
        <v>28</v>
      </c>
      <c r="D9">
        <v>0</v>
      </c>
    </row>
    <row r="10" spans="1:4" x14ac:dyDescent="0.2">
      <c r="A10">
        <v>9</v>
      </c>
      <c r="B10" t="s">
        <v>11</v>
      </c>
      <c r="C10">
        <v>0</v>
      </c>
      <c r="D10">
        <v>0</v>
      </c>
    </row>
    <row r="11" spans="1:4" x14ac:dyDescent="0.2">
      <c r="A11">
        <v>10</v>
      </c>
      <c r="B11" t="s">
        <v>14</v>
      </c>
      <c r="C11">
        <v>0</v>
      </c>
      <c r="D11">
        <v>0</v>
      </c>
    </row>
    <row r="12" spans="1:4" x14ac:dyDescent="0.2">
      <c r="A12">
        <v>11</v>
      </c>
      <c r="B12" t="s">
        <v>15</v>
      </c>
      <c r="C12">
        <v>28</v>
      </c>
      <c r="D12">
        <v>0</v>
      </c>
    </row>
    <row r="13" spans="1:4" x14ac:dyDescent="0.2">
      <c r="A13">
        <v>12</v>
      </c>
      <c r="B13" t="s">
        <v>12</v>
      </c>
      <c r="C13">
        <v>0</v>
      </c>
      <c r="D13">
        <v>0</v>
      </c>
    </row>
    <row r="14" spans="1:4" x14ac:dyDescent="0.2">
      <c r="A14">
        <v>13</v>
      </c>
      <c r="B14" t="s">
        <v>13</v>
      </c>
      <c r="C14">
        <v>16</v>
      </c>
      <c r="D14">
        <v>0</v>
      </c>
    </row>
    <row r="15" spans="1:4" x14ac:dyDescent="0.2">
      <c r="A15">
        <v>14</v>
      </c>
      <c r="B15" t="s">
        <v>2</v>
      </c>
      <c r="C15">
        <v>28</v>
      </c>
      <c r="D15">
        <v>0</v>
      </c>
    </row>
    <row r="16" spans="1:4" x14ac:dyDescent="0.2">
      <c r="A16">
        <v>15</v>
      </c>
      <c r="B16" t="s">
        <v>3</v>
      </c>
      <c r="C16">
        <v>28</v>
      </c>
      <c r="D16">
        <v>0</v>
      </c>
    </row>
    <row r="17" spans="1:4" x14ac:dyDescent="0.2">
      <c r="A17">
        <v>16</v>
      </c>
      <c r="B17" t="s">
        <v>16</v>
      </c>
      <c r="C17">
        <v>28</v>
      </c>
      <c r="D17">
        <v>1</v>
      </c>
    </row>
    <row r="18" spans="1:4" x14ac:dyDescent="0.2">
      <c r="A18">
        <v>17</v>
      </c>
      <c r="B18" t="s">
        <v>17</v>
      </c>
      <c r="C18" s="4">
        <v>28</v>
      </c>
      <c r="D18">
        <v>1</v>
      </c>
    </row>
    <row r="19" spans="1:4" x14ac:dyDescent="0.2">
      <c r="A19">
        <v>18</v>
      </c>
      <c r="B19" t="s">
        <v>18</v>
      </c>
      <c r="C19">
        <v>38</v>
      </c>
      <c r="D19">
        <v>1</v>
      </c>
    </row>
    <row r="20" spans="1:4" x14ac:dyDescent="0.2">
      <c r="A20">
        <v>19</v>
      </c>
      <c r="B20" t="s">
        <v>19</v>
      </c>
      <c r="C20" s="4">
        <v>28</v>
      </c>
      <c r="D20">
        <v>0</v>
      </c>
    </row>
    <row r="21" spans="1:4" x14ac:dyDescent="0.2">
      <c r="A21">
        <v>20</v>
      </c>
      <c r="B21" t="s">
        <v>20</v>
      </c>
      <c r="C21">
        <v>42</v>
      </c>
      <c r="D21">
        <v>1</v>
      </c>
    </row>
    <row r="22" spans="1:4" x14ac:dyDescent="0.2">
      <c r="A22">
        <v>21</v>
      </c>
      <c r="B22" t="s">
        <v>21</v>
      </c>
      <c r="C22">
        <v>42</v>
      </c>
      <c r="D22">
        <v>1</v>
      </c>
    </row>
    <row r="23" spans="1:4" x14ac:dyDescent="0.2">
      <c r="A23">
        <v>22</v>
      </c>
      <c r="B23" t="s">
        <v>22</v>
      </c>
      <c r="C23">
        <v>28</v>
      </c>
      <c r="D23">
        <v>0</v>
      </c>
    </row>
    <row r="24" spans="1:4" x14ac:dyDescent="0.2">
      <c r="A24">
        <v>23</v>
      </c>
      <c r="B24" t="s">
        <v>23</v>
      </c>
      <c r="C24">
        <v>28</v>
      </c>
      <c r="D24">
        <v>1</v>
      </c>
    </row>
    <row r="25" spans="1:4" x14ac:dyDescent="0.2">
      <c r="A25">
        <v>24</v>
      </c>
      <c r="B25" t="s">
        <v>24</v>
      </c>
      <c r="C25">
        <v>0</v>
      </c>
      <c r="D25">
        <v>1</v>
      </c>
    </row>
    <row r="26" spans="1:4" x14ac:dyDescent="0.2">
      <c r="A26">
        <v>25</v>
      </c>
      <c r="B26" t="s">
        <v>25</v>
      </c>
      <c r="C26">
        <v>0</v>
      </c>
      <c r="D26">
        <v>1</v>
      </c>
    </row>
    <row r="27" spans="1:4" x14ac:dyDescent="0.2">
      <c r="A27">
        <v>26</v>
      </c>
      <c r="B27" t="s">
        <v>26</v>
      </c>
      <c r="C27">
        <v>28</v>
      </c>
      <c r="D27">
        <v>1</v>
      </c>
    </row>
    <row r="28" spans="1:4" x14ac:dyDescent="0.2">
      <c r="A28">
        <v>27</v>
      </c>
      <c r="B28" t="s">
        <v>30</v>
      </c>
      <c r="C28">
        <v>0</v>
      </c>
      <c r="D28">
        <v>1</v>
      </c>
    </row>
    <row r="29" spans="1:4" x14ac:dyDescent="0.2">
      <c r="A29">
        <v>28</v>
      </c>
      <c r="B29" t="s">
        <v>31</v>
      </c>
      <c r="C29">
        <v>16</v>
      </c>
      <c r="D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release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Benedict Tiu</dc:creator>
  <cp:lastModifiedBy>Benedict Tiu</cp:lastModifiedBy>
  <dcterms:created xsi:type="dcterms:W3CDTF">2025-06-22T05:52:23Z</dcterms:created>
  <dcterms:modified xsi:type="dcterms:W3CDTF">2025-06-22T17:39:46Z</dcterms:modified>
</cp:coreProperties>
</file>