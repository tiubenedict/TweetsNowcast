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edict-t/Documents/tweets_parallel/TweetsNowcast/data/"/>
    </mc:Choice>
  </mc:AlternateContent>
  <xr:revisionPtr revIDLastSave="0" documentId="13_ncr:1_{97D9FAEA-1B12-C948-9BCB-521EC909C9AB}" xr6:coauthVersionLast="47" xr6:coauthVersionMax="47" xr10:uidLastSave="{00000000-0000-0000-0000-000000000000}"/>
  <bookViews>
    <workbookView xWindow="0" yWindow="500" windowWidth="28800" windowHeight="17500" xr2:uid="{D2104445-61C3-1F48-BC08-7F3BB0B3FA60}"/>
  </bookViews>
  <sheets>
    <sheet name="data" sheetId="1" r:id="rId1"/>
    <sheet name="rele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78" i="1"/>
  <c r="H80" i="1"/>
  <c r="H79" i="1"/>
  <c r="H78" i="1"/>
  <c r="H81" i="1"/>
  <c r="H82" i="1"/>
  <c r="H93" i="1"/>
  <c r="H92" i="1"/>
  <c r="H91" i="1"/>
  <c r="H90" i="1"/>
  <c r="H89" i="1"/>
  <c r="H88" i="1"/>
  <c r="H87" i="1"/>
  <c r="H86" i="1"/>
  <c r="H85" i="1"/>
  <c r="H84" i="1"/>
  <c r="H83" i="1"/>
  <c r="G78" i="1"/>
  <c r="G79" i="1"/>
  <c r="G80" i="1"/>
  <c r="G81" i="1"/>
  <c r="G82" i="1"/>
  <c r="G93" i="1"/>
  <c r="G92" i="1"/>
  <c r="G91" i="1"/>
  <c r="G90" i="1"/>
  <c r="G89" i="1"/>
  <c r="G88" i="1"/>
  <c r="G87" i="1"/>
  <c r="G86" i="1"/>
  <c r="G85" i="1"/>
  <c r="G83" i="1"/>
  <c r="G8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<sst xmlns="http://schemas.openxmlformats.org/spreadsheetml/2006/main" count="136" uniqueCount="120">
  <si>
    <t>date</t>
  </si>
  <si>
    <t>PHL_GDP_SA</t>
  </si>
  <si>
    <t>Name</t>
  </si>
  <si>
    <t>Variable Name</t>
  </si>
  <si>
    <t>Frequency</t>
  </si>
  <si>
    <t>Unit</t>
  </si>
  <si>
    <t>Q</t>
  </si>
  <si>
    <t>03/2000</t>
  </si>
  <si>
    <t>06/2000</t>
  </si>
  <si>
    <t>09/2000</t>
  </si>
  <si>
    <t>12/2000</t>
  </si>
  <si>
    <t>03/2001</t>
  </si>
  <si>
    <t>06/2001</t>
  </si>
  <si>
    <t>09/2001</t>
  </si>
  <si>
    <t>12/2001</t>
  </si>
  <si>
    <t>03/2002</t>
  </si>
  <si>
    <t>06/2002</t>
  </si>
  <si>
    <t>09/2002</t>
  </si>
  <si>
    <t>12/2002</t>
  </si>
  <si>
    <t>03/2003</t>
  </si>
  <si>
    <t>06/2003</t>
  </si>
  <si>
    <t>09/2003</t>
  </si>
  <si>
    <t>12/2003</t>
  </si>
  <si>
    <t>03/2004</t>
  </si>
  <si>
    <t>06/2004</t>
  </si>
  <si>
    <t>09/2004</t>
  </si>
  <si>
    <t>12/2004</t>
  </si>
  <si>
    <t>03/2005</t>
  </si>
  <si>
    <t>06/2005</t>
  </si>
  <si>
    <t>09/2005</t>
  </si>
  <si>
    <t>12/2005</t>
  </si>
  <si>
    <t>03/2006</t>
  </si>
  <si>
    <t>06/2006</t>
  </si>
  <si>
    <t>09/2006</t>
  </si>
  <si>
    <t>12/2006</t>
  </si>
  <si>
    <t>03/2007</t>
  </si>
  <si>
    <t>06/2007</t>
  </si>
  <si>
    <t>09/2007</t>
  </si>
  <si>
    <t>12/2007</t>
  </si>
  <si>
    <t>03/2008</t>
  </si>
  <si>
    <t>06/2008</t>
  </si>
  <si>
    <t>09/2008</t>
  </si>
  <si>
    <t>12/2008</t>
  </si>
  <si>
    <t>03/2009</t>
  </si>
  <si>
    <t>06/2009</t>
  </si>
  <si>
    <t>09/2009</t>
  </si>
  <si>
    <t>12/2009</t>
  </si>
  <si>
    <t>03/2010</t>
  </si>
  <si>
    <t>06/2010</t>
  </si>
  <si>
    <t>09/2010</t>
  </si>
  <si>
    <t>12/2010</t>
  </si>
  <si>
    <t>03/2011</t>
  </si>
  <si>
    <t>06/2011</t>
  </si>
  <si>
    <t>09/2011</t>
  </si>
  <si>
    <t>12/2011</t>
  </si>
  <si>
    <t>03/2012</t>
  </si>
  <si>
    <t>06/2012</t>
  </si>
  <si>
    <t>09/2012</t>
  </si>
  <si>
    <t>12/2012</t>
  </si>
  <si>
    <t>03/2013</t>
  </si>
  <si>
    <t>06/2013</t>
  </si>
  <si>
    <t>09/2013</t>
  </si>
  <si>
    <t>12/2013</t>
  </si>
  <si>
    <t>03/2014</t>
  </si>
  <si>
    <t>06/2014</t>
  </si>
  <si>
    <t>09/2014</t>
  </si>
  <si>
    <t>12/2014</t>
  </si>
  <si>
    <t>03/2015</t>
  </si>
  <si>
    <t>06/2015</t>
  </si>
  <si>
    <t>09/2015</t>
  </si>
  <si>
    <t>12/2015</t>
  </si>
  <si>
    <t>03/2016</t>
  </si>
  <si>
    <t>06/2016</t>
  </si>
  <si>
    <t>09/2016</t>
  </si>
  <si>
    <t>12/2016</t>
  </si>
  <si>
    <t>03/2017</t>
  </si>
  <si>
    <t>06/2017</t>
  </si>
  <si>
    <t>09/2017</t>
  </si>
  <si>
    <t>12/2017</t>
  </si>
  <si>
    <t>03/2018</t>
  </si>
  <si>
    <t>06/2018</t>
  </si>
  <si>
    <t>09/2018</t>
  </si>
  <si>
    <t>12/2018</t>
  </si>
  <si>
    <t>03/2019</t>
  </si>
  <si>
    <t>06/2019</t>
  </si>
  <si>
    <t>09/2019</t>
  </si>
  <si>
    <t>12/2019</t>
  </si>
  <si>
    <t>03/2020</t>
  </si>
  <si>
    <t>06/2020</t>
  </si>
  <si>
    <t>09/2020</t>
  </si>
  <si>
    <t>12/2020</t>
  </si>
  <si>
    <t>03/2021</t>
  </si>
  <si>
    <t>06/2021</t>
  </si>
  <si>
    <t>09/2021</t>
  </si>
  <si>
    <t>12/2021</t>
  </si>
  <si>
    <t>03/2022</t>
  </si>
  <si>
    <t>06/2022</t>
  </si>
  <si>
    <t>09/2022</t>
  </si>
  <si>
    <t>12/2022</t>
  </si>
  <si>
    <t>PHL_GDP_NSA</t>
  </si>
  <si>
    <t>PHL_GDP_NSA_YoY</t>
  </si>
  <si>
    <t>In million Philippine Pesos</t>
  </si>
  <si>
    <t>2B5CEXQ1</t>
  </si>
  <si>
    <t>Percentage</t>
  </si>
  <si>
    <t>Lag</t>
  </si>
  <si>
    <t>Include</t>
  </si>
  <si>
    <t>2B5CEXQ2</t>
  </si>
  <si>
    <t>PHL_GDP_QoQ_pctSAAR</t>
  </si>
  <si>
    <t>PHL_GDP_QoQ_logSAAR</t>
  </si>
  <si>
    <t>PHL_GDP_SA_QoQ_pct</t>
  </si>
  <si>
    <t>PHL_GDP_SA_QoQ_log</t>
  </si>
  <si>
    <t>GDP, NSA</t>
  </si>
  <si>
    <t>GDP, SA At Constant 2018 Prices</t>
  </si>
  <si>
    <t>GDP, SA At Constant 2018 Prices, QoQ Growth Rates</t>
  </si>
  <si>
    <t>Percentage compounded</t>
  </si>
  <si>
    <t>Log difference compounded</t>
  </si>
  <si>
    <t>Log difference</t>
  </si>
  <si>
    <t>GDP, NSA  YoY Growth Rates (Derived)</t>
  </si>
  <si>
    <t>GDP, SA QoQ log difference (Derived)</t>
  </si>
  <si>
    <t>GDP, SA QoQ log difference Annualized Rate (Derived)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</si>
</sst>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64" fontId="3" fillId="0" borderId="0" xfId="1" applyNumberFormat="1" applyFont="1"/>
    <xf numFmtId="0" fontId="4" fillId="0" borderId="0" xfId="0" applyFont="1"/>
    <xf numFmtId="0" fontId="0" fillId="2" borderId="0" xfId="0" applyFill="1"/>
    <xf numFmtId="0" fontId="0" fillId="3" borderId="0" xfId="0" applyFill="1"/>
    <xf numFmtId="164" fontId="3" fillId="3" borderId="0" xfId="1" applyNumberFormat="1" applyFont="1" applyFill="1"/>
  </cellXfs>
  <cellStyles count="2">
    <cellStyle name="Normal" xfId="0" builtinId="0"/>
    <cellStyle name="Normal 3" xfId="1" xr:uid="{E256A543-6B8F-2E42-8DA9-877B26E771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AF7E-7927-A647-9938-FFC101B5129B}">
  <dimension ref="A1:H93"/>
  <sheetViews>
    <sheetView tabSelected="1" zoomScale="107" workbookViewId="0">
      <pane ySplit="1" topLeftCell="A2" activePane="bottomLeft" state="frozen"/>
      <selection pane="bottomLeft" activeCell="F3" sqref="F3"/>
    </sheetView>
  </sheetViews>
  <sheetFormatPr baseColWidth="10" defaultRowHeight="16" x14ac:dyDescent="0.2"/>
  <cols>
    <col min="2" max="2" width="11.6640625" bestFit="1" customWidth="1"/>
    <col min="3" max="3" width="19.1640625" bestFit="1" customWidth="1"/>
    <col min="4" max="4" width="15.6640625" style="1" bestFit="1" customWidth="1"/>
    <col min="5" max="5" width="17" bestFit="1" customWidth="1"/>
    <col min="6" max="6" width="19.83203125" bestFit="1" customWidth="1"/>
    <col min="7" max="7" width="21.33203125" bestFit="1" customWidth="1"/>
    <col min="8" max="8" width="21.1640625" bestFit="1" customWidth="1"/>
  </cols>
  <sheetData>
    <row r="1" spans="1:8" x14ac:dyDescent="0.2">
      <c r="A1" t="s">
        <v>0</v>
      </c>
      <c r="B1" s="4" t="s">
        <v>1</v>
      </c>
      <c r="C1" s="4" t="s">
        <v>109</v>
      </c>
      <c r="D1" s="5" t="s">
        <v>99</v>
      </c>
      <c r="E1" s="3" t="s">
        <v>100</v>
      </c>
      <c r="F1" s="3" t="s">
        <v>110</v>
      </c>
      <c r="G1" s="3" t="s">
        <v>107</v>
      </c>
      <c r="H1" s="3" t="s">
        <v>108</v>
      </c>
    </row>
    <row r="2" spans="1:8" x14ac:dyDescent="0.2">
      <c r="A2" t="s">
        <v>7</v>
      </c>
      <c r="B2" s="1">
        <v>1733191.7225297326</v>
      </c>
      <c r="D2" s="1">
        <v>1653296</v>
      </c>
    </row>
    <row r="3" spans="1:8" x14ac:dyDescent="0.2">
      <c r="A3" t="s">
        <v>8</v>
      </c>
      <c r="B3" s="1">
        <v>1735919.2057148586</v>
      </c>
      <c r="C3">
        <v>0.15736765584971124</v>
      </c>
      <c r="D3" s="1">
        <v>1729789</v>
      </c>
      <c r="F3">
        <f>LN(1+C3/100)*100</f>
        <v>0.15724396270583063</v>
      </c>
      <c r="G3">
        <f>(((1+C3/100)^4)-1)*100</f>
        <v>0.63095805761606005</v>
      </c>
      <c r="H3">
        <f t="shared" ref="H3:H66" si="0">LN(B3/B2)*400</f>
        <v>0.62897585082332252</v>
      </c>
    </row>
    <row r="4" spans="1:8" x14ac:dyDescent="0.2">
      <c r="A4" t="s">
        <v>9</v>
      </c>
      <c r="B4" s="1">
        <v>1764361.2636150811</v>
      </c>
      <c r="C4">
        <v>1.6384436445306676</v>
      </c>
      <c r="D4" s="1">
        <v>1709413</v>
      </c>
      <c r="F4">
        <f t="shared" ref="F3:F66" si="1">LN(1+C4/100)*100</f>
        <v>1.6251659915807812</v>
      </c>
      <c r="G4">
        <f t="shared" ref="G3:G66" si="2">(((1+C4/100)^4)-1)*100</f>
        <v>6.7166109984251543</v>
      </c>
      <c r="H4">
        <f t="shared" si="0"/>
        <v>6.5006639663231249</v>
      </c>
    </row>
    <row r="5" spans="1:8" x14ac:dyDescent="0.2">
      <c r="A5" t="s">
        <v>10</v>
      </c>
      <c r="B5" s="1">
        <v>1756833.0419474342</v>
      </c>
      <c r="C5">
        <v>-0.4266825520881099</v>
      </c>
      <c r="D5" s="1">
        <v>1892885</v>
      </c>
      <c r="F5">
        <f t="shared" si="1"/>
        <v>-0.42759543976979503</v>
      </c>
      <c r="G5">
        <f t="shared" si="2"/>
        <v>-1.6958377675808101</v>
      </c>
      <c r="H5">
        <f t="shared" si="0"/>
        <v>-1.7103817590791801</v>
      </c>
    </row>
    <row r="6" spans="1:8" x14ac:dyDescent="0.2">
      <c r="A6" t="s">
        <v>11</v>
      </c>
      <c r="B6" s="1">
        <v>1773810.3047258276</v>
      </c>
      <c r="C6">
        <v>0.96635607214983565</v>
      </c>
      <c r="D6" s="1">
        <v>1693209</v>
      </c>
      <c r="E6">
        <f>(D6-D2)/D2*100</f>
        <v>2.4141472549380145</v>
      </c>
      <c r="F6">
        <f t="shared" si="1"/>
        <v>0.96171671637727085</v>
      </c>
      <c r="G6">
        <f t="shared" si="2"/>
        <v>3.92181677450536</v>
      </c>
      <c r="H6">
        <f t="shared" si="0"/>
        <v>3.8468668655090834</v>
      </c>
    </row>
    <row r="7" spans="1:8" x14ac:dyDescent="0.2">
      <c r="A7" t="s">
        <v>12</v>
      </c>
      <c r="B7" s="1">
        <v>1792114.7747811768</v>
      </c>
      <c r="C7">
        <v>1.031929401164362</v>
      </c>
      <c r="D7" s="1">
        <v>1786322</v>
      </c>
      <c r="E7">
        <f>(D7-D3)/D3*100</f>
        <v>3.2682020755132561</v>
      </c>
      <c r="F7">
        <f t="shared" si="1"/>
        <v>1.0266413578555516</v>
      </c>
      <c r="G7">
        <f t="shared" si="2"/>
        <v>4.1920509876485212</v>
      </c>
      <c r="H7">
        <f t="shared" si="0"/>
        <v>4.1065654314222062</v>
      </c>
    </row>
    <row r="8" spans="1:8" x14ac:dyDescent="0.2">
      <c r="A8" t="s">
        <v>13</v>
      </c>
      <c r="B8" s="1">
        <v>1821669.0665047858</v>
      </c>
      <c r="C8">
        <v>1.6491294050749303</v>
      </c>
      <c r="D8" s="1">
        <v>1762583</v>
      </c>
      <c r="E8">
        <f>(D8-D4)/D4*100</f>
        <v>3.1104244556464704</v>
      </c>
      <c r="F8">
        <f t="shared" si="1"/>
        <v>1.6356789416778286</v>
      </c>
      <c r="G8">
        <f t="shared" si="2"/>
        <v>6.7614966916228703</v>
      </c>
      <c r="H8">
        <f t="shared" si="0"/>
        <v>6.5427157667113143</v>
      </c>
    </row>
    <row r="9" spans="1:8" x14ac:dyDescent="0.2">
      <c r="A9" t="s">
        <v>14</v>
      </c>
      <c r="B9" s="1">
        <v>1814297.4475385994</v>
      </c>
      <c r="C9">
        <v>-0.4046629051197641</v>
      </c>
      <c r="D9" s="1">
        <v>1956269</v>
      </c>
      <c r="E9">
        <f>(D9-D5)/D5*100</f>
        <v>3.3485393988541299</v>
      </c>
      <c r="F9">
        <f t="shared" si="1"/>
        <v>-0.40548388099203014</v>
      </c>
      <c r="G9">
        <f t="shared" si="2"/>
        <v>-1.608852975412367</v>
      </c>
      <c r="H9">
        <f t="shared" si="0"/>
        <v>-1.6219355239681206</v>
      </c>
    </row>
    <row r="10" spans="1:8" x14ac:dyDescent="0.2">
      <c r="A10" t="s">
        <v>15</v>
      </c>
      <c r="B10" s="1">
        <v>1835564.375135161</v>
      </c>
      <c r="C10">
        <v>1.1721852789581959</v>
      </c>
      <c r="D10" s="1">
        <v>1758847</v>
      </c>
      <c r="E10">
        <f>(D10-D6)/D6*100</f>
        <v>3.8765444785611223</v>
      </c>
      <c r="F10">
        <f t="shared" si="1"/>
        <v>1.1653684065206764</v>
      </c>
      <c r="G10">
        <f t="shared" si="2"/>
        <v>4.7718283450744581</v>
      </c>
      <c r="H10">
        <f t="shared" si="0"/>
        <v>4.6614736260827057</v>
      </c>
    </row>
    <row r="11" spans="1:8" x14ac:dyDescent="0.2">
      <c r="A11" t="s">
        <v>16</v>
      </c>
      <c r="B11" s="1">
        <v>1853820.6162639954</v>
      </c>
      <c r="C11">
        <v>0.99458462890957833</v>
      </c>
      <c r="D11" s="1">
        <v>1851705</v>
      </c>
      <c r="E11">
        <f t="shared" ref="E11:E74" si="3">(D11-D7)/D7*100</f>
        <v>3.6602023599328675</v>
      </c>
      <c r="F11">
        <f t="shared" si="1"/>
        <v>0.98967118801479115</v>
      </c>
      <c r="G11">
        <f t="shared" si="2"/>
        <v>4.0380849458785839</v>
      </c>
      <c r="H11">
        <f t="shared" si="0"/>
        <v>3.9586847520591646</v>
      </c>
    </row>
    <row r="12" spans="1:8" x14ac:dyDescent="0.2">
      <c r="A12" t="s">
        <v>17</v>
      </c>
      <c r="B12" s="1">
        <v>1867273.4797068611</v>
      </c>
      <c r="C12">
        <v>0.72568312839121063</v>
      </c>
      <c r="D12" s="1">
        <v>1809767</v>
      </c>
      <c r="E12">
        <f t="shared" si="3"/>
        <v>2.6769803180899849</v>
      </c>
      <c r="F12">
        <f t="shared" si="1"/>
        <v>0.72306271799097299</v>
      </c>
      <c r="G12">
        <f t="shared" si="2"/>
        <v>2.9344826135984992</v>
      </c>
      <c r="H12">
        <f t="shared" si="0"/>
        <v>2.892250871963892</v>
      </c>
    </row>
    <row r="13" spans="1:8" x14ac:dyDescent="0.2">
      <c r="A13" t="s">
        <v>18</v>
      </c>
      <c r="B13" s="1">
        <v>1899790.344268752</v>
      </c>
      <c r="C13">
        <v>1.7414087928349744</v>
      </c>
      <c r="D13" s="1">
        <v>2045575</v>
      </c>
      <c r="E13">
        <f t="shared" si="3"/>
        <v>4.565118600765028</v>
      </c>
      <c r="F13">
        <f t="shared" si="1"/>
        <v>1.7264200301370276</v>
      </c>
      <c r="G13">
        <f t="shared" si="2"/>
        <v>7.1497069745082964</v>
      </c>
      <c r="H13">
        <f t="shared" si="0"/>
        <v>6.9056801205481104</v>
      </c>
    </row>
    <row r="14" spans="1:8" x14ac:dyDescent="0.2">
      <c r="A14" t="s">
        <v>19</v>
      </c>
      <c r="B14" s="1">
        <v>1917071.797859133</v>
      </c>
      <c r="C14">
        <v>0.90965056446967196</v>
      </c>
      <c r="D14" s="1">
        <v>1840079</v>
      </c>
      <c r="E14">
        <f t="shared" si="3"/>
        <v>4.6184801747963293</v>
      </c>
      <c r="F14">
        <f t="shared" si="1"/>
        <v>0.90553816389223507</v>
      </c>
      <c r="G14">
        <f t="shared" si="2"/>
        <v>3.6885518728342781</v>
      </c>
      <c r="H14">
        <f t="shared" si="0"/>
        <v>3.6221526555689403</v>
      </c>
    </row>
    <row r="15" spans="1:8" x14ac:dyDescent="0.2">
      <c r="A15" t="s">
        <v>20</v>
      </c>
      <c r="B15" s="1">
        <v>1930929.7991685073</v>
      </c>
      <c r="C15">
        <v>0.72287335950849751</v>
      </c>
      <c r="D15" s="1">
        <v>1932976</v>
      </c>
      <c r="E15">
        <f t="shared" si="3"/>
        <v>4.3889820462762703</v>
      </c>
      <c r="F15">
        <f t="shared" si="1"/>
        <v>0.7202731533181006</v>
      </c>
      <c r="G15">
        <f t="shared" si="2"/>
        <v>2.9229975585236989</v>
      </c>
      <c r="H15">
        <f t="shared" si="0"/>
        <v>2.8810926132724024</v>
      </c>
    </row>
    <row r="16" spans="1:8" x14ac:dyDescent="0.2">
      <c r="A16" t="s">
        <v>21</v>
      </c>
      <c r="B16" s="1">
        <v>1976469.6514154461</v>
      </c>
      <c r="C16">
        <v>2.3584416308945606</v>
      </c>
      <c r="D16" s="1">
        <v>1909701</v>
      </c>
      <c r="E16">
        <f t="shared" si="3"/>
        <v>5.5219263032202486</v>
      </c>
      <c r="F16">
        <f t="shared" si="1"/>
        <v>2.3310600792279663</v>
      </c>
      <c r="G16">
        <f t="shared" si="2"/>
        <v>9.7727795716342492</v>
      </c>
      <c r="H16">
        <f t="shared" si="0"/>
        <v>9.3242403169118653</v>
      </c>
    </row>
    <row r="17" spans="1:8" x14ac:dyDescent="0.2">
      <c r="A17" t="s">
        <v>22</v>
      </c>
      <c r="B17" s="1">
        <v>2015282.0507589052</v>
      </c>
      <c r="C17">
        <v>1.9637235166077005</v>
      </c>
      <c r="D17" s="1">
        <v>2162922</v>
      </c>
      <c r="E17">
        <f t="shared" si="3"/>
        <v>5.7366266208767707</v>
      </c>
      <c r="F17">
        <f t="shared" si="1"/>
        <v>1.9446912239115999</v>
      </c>
      <c r="G17">
        <f t="shared" si="2"/>
        <v>8.0893105519112218</v>
      </c>
      <c r="H17">
        <f t="shared" si="0"/>
        <v>7.7787648956463995</v>
      </c>
    </row>
    <row r="18" spans="1:8" x14ac:dyDescent="0.2">
      <c r="A18" t="s">
        <v>23</v>
      </c>
      <c r="B18" s="1">
        <v>2052678.9093467921</v>
      </c>
      <c r="C18">
        <v>1.8556637555425084</v>
      </c>
      <c r="D18" s="1">
        <v>1972128</v>
      </c>
      <c r="E18">
        <f t="shared" si="3"/>
        <v>7.1762679754510534</v>
      </c>
      <c r="F18">
        <f t="shared" si="1"/>
        <v>1.8386563931370954</v>
      </c>
      <c r="G18">
        <f t="shared" si="2"/>
        <v>7.6318321405276501</v>
      </c>
      <c r="H18">
        <f t="shared" si="0"/>
        <v>7.3546255725483816</v>
      </c>
    </row>
    <row r="19" spans="1:8" x14ac:dyDescent="0.2">
      <c r="A19" t="s">
        <v>24</v>
      </c>
      <c r="B19" s="1">
        <v>2068174.2396056366</v>
      </c>
      <c r="C19">
        <v>0.75488329851722824</v>
      </c>
      <c r="D19" s="1">
        <v>2077812</v>
      </c>
      <c r="E19">
        <f t="shared" si="3"/>
        <v>7.4929021363948651</v>
      </c>
      <c r="F19">
        <f t="shared" si="1"/>
        <v>0.75204831282853213</v>
      </c>
      <c r="G19">
        <f t="shared" si="2"/>
        <v>3.0538965141944097</v>
      </c>
      <c r="H19">
        <f t="shared" si="0"/>
        <v>3.0081932513141285</v>
      </c>
    </row>
    <row r="20" spans="1:8" x14ac:dyDescent="0.2">
      <c r="A20" t="s">
        <v>25</v>
      </c>
      <c r="B20" s="1">
        <v>2102325.3745536953</v>
      </c>
      <c r="C20">
        <v>1.651269718675664</v>
      </c>
      <c r="D20" s="1">
        <v>2029119</v>
      </c>
      <c r="E20">
        <f t="shared" si="3"/>
        <v>6.2532302177147097</v>
      </c>
      <c r="F20">
        <f t="shared" si="1"/>
        <v>1.6377845092124064</v>
      </c>
      <c r="G20">
        <f t="shared" si="2"/>
        <v>6.7704888119429318</v>
      </c>
      <c r="H20">
        <f t="shared" si="0"/>
        <v>6.5511380368496255</v>
      </c>
    </row>
    <row r="21" spans="1:8" x14ac:dyDescent="0.2">
      <c r="A21" t="s">
        <v>26</v>
      </c>
      <c r="B21" s="1">
        <v>2128369.6358706597</v>
      </c>
      <c r="C21">
        <v>1.2388311358556052</v>
      </c>
      <c r="D21" s="1">
        <v>2282020</v>
      </c>
      <c r="E21">
        <f t="shared" si="3"/>
        <v>5.5063474318537606</v>
      </c>
      <c r="F21">
        <f t="shared" si="1"/>
        <v>1.2312204144659791</v>
      </c>
      <c r="G21">
        <f t="shared" si="2"/>
        <v>5.0481695486621181</v>
      </c>
      <c r="H21">
        <f t="shared" si="0"/>
        <v>4.9248816578639163</v>
      </c>
    </row>
    <row r="22" spans="1:8" x14ac:dyDescent="0.2">
      <c r="A22" t="s">
        <v>27</v>
      </c>
      <c r="B22" s="1">
        <v>2159693.5119428649</v>
      </c>
      <c r="C22">
        <v>1.4717310162805148</v>
      </c>
      <c r="D22" s="1">
        <v>2071140</v>
      </c>
      <c r="E22">
        <f t="shared" si="3"/>
        <v>5.0205666163656719</v>
      </c>
      <c r="F22">
        <f t="shared" si="1"/>
        <v>1.4610061547165802</v>
      </c>
      <c r="G22">
        <f t="shared" si="2"/>
        <v>6.0181633908525489</v>
      </c>
      <c r="H22">
        <f t="shared" si="0"/>
        <v>5.844024618866321</v>
      </c>
    </row>
    <row r="23" spans="1:8" x14ac:dyDescent="0.2">
      <c r="A23" t="s">
        <v>28</v>
      </c>
      <c r="B23" s="1">
        <v>2175161.9667997938</v>
      </c>
      <c r="C23">
        <v>0.71623379759164152</v>
      </c>
      <c r="D23" s="1">
        <v>2195369</v>
      </c>
      <c r="E23">
        <f t="shared" si="3"/>
        <v>5.6577303432649346</v>
      </c>
      <c r="F23">
        <f t="shared" si="1"/>
        <v>0.71368102529196731</v>
      </c>
      <c r="G23">
        <f t="shared" si="2"/>
        <v>2.8958618732496166</v>
      </c>
      <c r="H23">
        <f t="shared" si="0"/>
        <v>2.8547241011678692</v>
      </c>
    </row>
    <row r="24" spans="1:8" x14ac:dyDescent="0.2">
      <c r="A24" t="s">
        <v>29</v>
      </c>
      <c r="B24" s="1">
        <v>2205626.6350521124</v>
      </c>
      <c r="C24">
        <v>1.4005701054593089</v>
      </c>
      <c r="D24" s="1">
        <v>2117985</v>
      </c>
      <c r="E24">
        <f t="shared" si="3"/>
        <v>4.3795361435184432</v>
      </c>
      <c r="F24">
        <f t="shared" si="1"/>
        <v>1.3908527494993896</v>
      </c>
      <c r="G24">
        <f t="shared" si="2"/>
        <v>5.7210790083510599</v>
      </c>
      <c r="H24">
        <f t="shared" si="0"/>
        <v>5.5634109979975586</v>
      </c>
    </row>
    <row r="25" spans="1:8" x14ac:dyDescent="0.2">
      <c r="A25" t="s">
        <v>30</v>
      </c>
      <c r="B25" s="1">
        <v>2224293.9531948916</v>
      </c>
      <c r="C25">
        <v>0.84634986928955414</v>
      </c>
      <c r="D25" s="1">
        <v>2389831</v>
      </c>
      <c r="E25">
        <f t="shared" si="3"/>
        <v>4.7243670081769658</v>
      </c>
      <c r="F25">
        <f t="shared" si="1"/>
        <v>0.84278840961369716</v>
      </c>
      <c r="G25">
        <f t="shared" si="2"/>
        <v>3.4286209752374619</v>
      </c>
      <c r="H25">
        <f t="shared" si="0"/>
        <v>3.3711536384547887</v>
      </c>
    </row>
    <row r="26" spans="1:8" x14ac:dyDescent="0.2">
      <c r="A26" t="s">
        <v>31</v>
      </c>
      <c r="B26" s="1">
        <v>2266145.5018958291</v>
      </c>
      <c r="C26">
        <v>1.8815655476122544</v>
      </c>
      <c r="D26" s="1">
        <v>2164381</v>
      </c>
      <c r="E26">
        <f t="shared" si="3"/>
        <v>4.5019168187568201</v>
      </c>
      <c r="F26">
        <f t="shared" si="1"/>
        <v>1.8640830589437125</v>
      </c>
      <c r="G26">
        <f t="shared" si="2"/>
        <v>7.7413565729488987</v>
      </c>
      <c r="H26">
        <f t="shared" si="0"/>
        <v>7.45633223577485</v>
      </c>
    </row>
    <row r="27" spans="1:8" x14ac:dyDescent="0.2">
      <c r="A27" t="s">
        <v>32</v>
      </c>
      <c r="B27" s="1">
        <v>2294212.917096586</v>
      </c>
      <c r="C27">
        <v>1.2385530927857928</v>
      </c>
      <c r="D27" s="1">
        <v>2325314</v>
      </c>
      <c r="E27">
        <f t="shared" si="3"/>
        <v>5.9190505104153335</v>
      </c>
      <c r="F27">
        <f t="shared" si="1"/>
        <v>1.2309457733539637</v>
      </c>
      <c r="G27">
        <f t="shared" si="2"/>
        <v>5.0470155331569178</v>
      </c>
      <c r="H27">
        <f t="shared" si="0"/>
        <v>4.9237830934158549</v>
      </c>
    </row>
    <row r="28" spans="1:8" x14ac:dyDescent="0.2">
      <c r="A28" t="s">
        <v>33</v>
      </c>
      <c r="B28" s="1">
        <v>2313206.0153568629</v>
      </c>
      <c r="C28">
        <v>0.82786990338776434</v>
      </c>
      <c r="D28" s="1">
        <v>2217593</v>
      </c>
      <c r="E28">
        <f t="shared" si="3"/>
        <v>4.7029605969825088</v>
      </c>
      <c r="F28">
        <f t="shared" si="1"/>
        <v>0.82446185704357877</v>
      </c>
      <c r="G28">
        <f t="shared" si="2"/>
        <v>3.3528291563043267</v>
      </c>
      <c r="H28">
        <f t="shared" si="0"/>
        <v>3.2978474281743151</v>
      </c>
    </row>
    <row r="29" spans="1:8" x14ac:dyDescent="0.2">
      <c r="A29" t="s">
        <v>34</v>
      </c>
      <c r="B29" s="1">
        <v>2354714.7613325501</v>
      </c>
      <c r="C29">
        <v>1.7944249539435759</v>
      </c>
      <c r="D29" s="1">
        <v>2533516</v>
      </c>
      <c r="E29">
        <f t="shared" si="3"/>
        <v>6.0123498272471991</v>
      </c>
      <c r="F29">
        <f t="shared" si="1"/>
        <v>1.7785151932654664</v>
      </c>
      <c r="G29">
        <f t="shared" si="2"/>
        <v>7.3732190301295963</v>
      </c>
      <c r="H29">
        <f t="shared" si="0"/>
        <v>7.1140607730618655</v>
      </c>
    </row>
    <row r="30" spans="1:8" x14ac:dyDescent="0.2">
      <c r="A30" t="s">
        <v>35</v>
      </c>
      <c r="B30" s="1">
        <v>2415323.1603512121</v>
      </c>
      <c r="C30">
        <v>2.5739168078414423</v>
      </c>
      <c r="D30" s="1">
        <v>2297797</v>
      </c>
      <c r="E30">
        <f t="shared" si="3"/>
        <v>6.164164257586811</v>
      </c>
      <c r="F30">
        <f t="shared" si="1"/>
        <v>2.5413492282855485</v>
      </c>
      <c r="G30">
        <f t="shared" si="2"/>
        <v>10.700034915330381</v>
      </c>
      <c r="H30">
        <f t="shared" si="0"/>
        <v>10.165396913142194</v>
      </c>
    </row>
    <row r="31" spans="1:8" x14ac:dyDescent="0.2">
      <c r="A31" t="s">
        <v>36</v>
      </c>
      <c r="B31" s="1">
        <v>2438145.2988152253</v>
      </c>
      <c r="C31">
        <v>0.94488964618277294</v>
      </c>
      <c r="D31" s="1">
        <v>2484417</v>
      </c>
      <c r="E31">
        <f t="shared" si="3"/>
        <v>6.842215717963251</v>
      </c>
      <c r="F31">
        <f t="shared" si="1"/>
        <v>0.94045348661355688</v>
      </c>
      <c r="G31">
        <f t="shared" si="2"/>
        <v>3.8334658136654598</v>
      </c>
      <c r="H31">
        <f t="shared" si="0"/>
        <v>3.7618139464542275</v>
      </c>
    </row>
    <row r="32" spans="1:8" x14ac:dyDescent="0.2">
      <c r="A32" t="s">
        <v>37</v>
      </c>
      <c r="B32" s="1">
        <v>2464007.0790680484</v>
      </c>
      <c r="C32">
        <v>1.0607153013149002</v>
      </c>
      <c r="D32" s="1">
        <v>2362773</v>
      </c>
      <c r="E32">
        <f t="shared" si="3"/>
        <v>6.54673783692499</v>
      </c>
      <c r="F32">
        <f t="shared" si="1"/>
        <v>1.055129183711458</v>
      </c>
      <c r="G32">
        <f t="shared" si="2"/>
        <v>4.3108468596804617</v>
      </c>
      <c r="H32">
        <f t="shared" si="0"/>
        <v>4.2205167348458321</v>
      </c>
    </row>
    <row r="33" spans="1:8" x14ac:dyDescent="0.2">
      <c r="A33" t="s">
        <v>38</v>
      </c>
      <c r="B33" s="1">
        <v>2511216.9944010796</v>
      </c>
      <c r="C33">
        <v>1.9159813189695569</v>
      </c>
      <c r="D33" s="1">
        <v>2698252</v>
      </c>
      <c r="E33">
        <f t="shared" si="3"/>
        <v>6.5022679943604071</v>
      </c>
      <c r="F33">
        <f t="shared" si="1"/>
        <v>1.8978575299455489</v>
      </c>
      <c r="G33">
        <f t="shared" si="2"/>
        <v>7.8870112319074703</v>
      </c>
      <c r="H33">
        <f t="shared" si="0"/>
        <v>7.5914301197821956</v>
      </c>
    </row>
    <row r="34" spans="1:8" x14ac:dyDescent="0.2">
      <c r="A34" t="s">
        <v>39</v>
      </c>
      <c r="B34" s="1">
        <v>2516165.4876158228</v>
      </c>
      <c r="C34">
        <v>0.19705558005445312</v>
      </c>
      <c r="D34" s="1">
        <v>2393607</v>
      </c>
      <c r="E34">
        <f t="shared" si="3"/>
        <v>4.1696459695960959</v>
      </c>
      <c r="F34">
        <f t="shared" si="1"/>
        <v>0.19686168023145917</v>
      </c>
      <c r="G34">
        <f t="shared" si="2"/>
        <v>0.79055523656179627</v>
      </c>
      <c r="H34">
        <f t="shared" si="0"/>
        <v>0.78744672092583667</v>
      </c>
    </row>
    <row r="35" spans="1:8" x14ac:dyDescent="0.2">
      <c r="A35" t="s">
        <v>40</v>
      </c>
      <c r="B35" s="1">
        <v>2556681.9533415684</v>
      </c>
      <c r="C35">
        <v>1.6102464613381358</v>
      </c>
      <c r="D35" s="1">
        <v>2602999</v>
      </c>
      <c r="E35">
        <f t="shared" si="3"/>
        <v>4.7730312584401089</v>
      </c>
      <c r="F35">
        <f t="shared" si="1"/>
        <v>1.5974195068592822</v>
      </c>
      <c r="G35">
        <f t="shared" si="2"/>
        <v>6.5982362675655049</v>
      </c>
      <c r="H35">
        <f t="shared" si="0"/>
        <v>6.389678027437129</v>
      </c>
    </row>
    <row r="36" spans="1:8" x14ac:dyDescent="0.2">
      <c r="A36" t="s">
        <v>41</v>
      </c>
      <c r="B36" s="1">
        <v>2601058.7010084903</v>
      </c>
      <c r="C36">
        <v>1.7357163885371847</v>
      </c>
      <c r="D36" s="1">
        <v>2491196</v>
      </c>
      <c r="E36">
        <f t="shared" si="3"/>
        <v>5.4352661046998589</v>
      </c>
      <c r="F36">
        <f t="shared" si="1"/>
        <v>1.7208249006656358</v>
      </c>
      <c r="G36">
        <f t="shared" si="2"/>
        <v>7.1257289984722361</v>
      </c>
      <c r="H36">
        <f t="shared" si="0"/>
        <v>6.883299602662543</v>
      </c>
    </row>
    <row r="37" spans="1:8" x14ac:dyDescent="0.2">
      <c r="A37" t="s">
        <v>42</v>
      </c>
      <c r="B37" s="1">
        <v>2595961.3280975521</v>
      </c>
      <c r="C37">
        <v>-0.19597300549048668</v>
      </c>
      <c r="D37" s="1">
        <v>2783075</v>
      </c>
      <c r="E37">
        <f t="shared" si="3"/>
        <v>3.1436278005167786</v>
      </c>
      <c r="F37">
        <f t="shared" si="1"/>
        <v>-0.19616528383506418</v>
      </c>
      <c r="G37">
        <f t="shared" si="2"/>
        <v>-0.78159070592428437</v>
      </c>
      <c r="H37">
        <f t="shared" si="0"/>
        <v>-0.78466113534025672</v>
      </c>
    </row>
    <row r="38" spans="1:8" x14ac:dyDescent="0.2">
      <c r="A38" t="s">
        <v>43</v>
      </c>
      <c r="B38" s="1">
        <v>2541965.7519990541</v>
      </c>
      <c r="C38">
        <v>-2.0799838392842531</v>
      </c>
      <c r="D38" s="1">
        <v>2420350</v>
      </c>
      <c r="E38">
        <f t="shared" si="3"/>
        <v>1.11726778873892</v>
      </c>
      <c r="F38">
        <f t="shared" si="1"/>
        <v>-2.1019202184099752</v>
      </c>
      <c r="G38">
        <f t="shared" si="2"/>
        <v>-8.0639361545801194</v>
      </c>
      <c r="H38">
        <f t="shared" si="0"/>
        <v>-8.4076808736399009</v>
      </c>
    </row>
    <row r="39" spans="1:8" x14ac:dyDescent="0.2">
      <c r="A39" t="s">
        <v>44</v>
      </c>
      <c r="B39" s="1">
        <v>2595069.5995712038</v>
      </c>
      <c r="C39">
        <v>2.0890858789260847</v>
      </c>
      <c r="D39" s="1">
        <v>2652251</v>
      </c>
      <c r="E39">
        <f t="shared" si="3"/>
        <v>1.8921251986650782</v>
      </c>
      <c r="F39">
        <f t="shared" si="1"/>
        <v>2.0675637082082483</v>
      </c>
      <c r="G39">
        <f t="shared" si="2"/>
        <v>8.6218662933430057</v>
      </c>
      <c r="H39">
        <f t="shared" si="0"/>
        <v>8.2702548328329932</v>
      </c>
    </row>
    <row r="40" spans="1:8" x14ac:dyDescent="0.2">
      <c r="A40" t="s">
        <v>45</v>
      </c>
      <c r="B40" s="1">
        <v>2630474.1297587259</v>
      </c>
      <c r="C40">
        <v>1.3642998320111417</v>
      </c>
      <c r="D40" s="1">
        <v>2514311</v>
      </c>
      <c r="E40">
        <f t="shared" si="3"/>
        <v>0.92786757846432</v>
      </c>
      <c r="F40">
        <f t="shared" si="1"/>
        <v>1.3550770514248591</v>
      </c>
      <c r="G40">
        <f t="shared" si="2"/>
        <v>5.569897390600298</v>
      </c>
      <c r="H40">
        <f t="shared" si="0"/>
        <v>5.4203082056994365</v>
      </c>
    </row>
    <row r="41" spans="1:8" x14ac:dyDescent="0.2">
      <c r="A41" t="s">
        <v>46</v>
      </c>
      <c r="B41" s="1">
        <v>2655076.7074001925</v>
      </c>
      <c r="C41">
        <v>0.93529061408116831</v>
      </c>
      <c r="D41" s="1">
        <v>2832721</v>
      </c>
      <c r="E41">
        <f t="shared" si="3"/>
        <v>1.7838541900595564</v>
      </c>
      <c r="F41">
        <f t="shared" si="1"/>
        <v>0.93094385362584831</v>
      </c>
      <c r="G41">
        <f t="shared" si="2"/>
        <v>3.7939765986312546</v>
      </c>
      <c r="H41">
        <f t="shared" si="0"/>
        <v>3.7237754145033932</v>
      </c>
    </row>
    <row r="42" spans="1:8" x14ac:dyDescent="0.2">
      <c r="A42" t="s">
        <v>47</v>
      </c>
      <c r="B42" s="1">
        <v>2736365.6585608013</v>
      </c>
      <c r="C42">
        <v>3.0616422845351821</v>
      </c>
      <c r="D42" s="1">
        <v>2616891</v>
      </c>
      <c r="E42">
        <f t="shared" si="3"/>
        <v>8.1203544941847259</v>
      </c>
      <c r="F42">
        <f t="shared" si="1"/>
        <v>3.0157092012416031</v>
      </c>
      <c r="G42">
        <f t="shared" si="2"/>
        <v>12.820555721767546</v>
      </c>
      <c r="H42">
        <f t="shared" si="0"/>
        <v>12.062836804966413</v>
      </c>
    </row>
    <row r="43" spans="1:8" x14ac:dyDescent="0.2">
      <c r="A43" t="s">
        <v>48</v>
      </c>
      <c r="B43" s="1">
        <v>2786954.0127074788</v>
      </c>
      <c r="C43">
        <v>1.848742473010148</v>
      </c>
      <c r="D43" s="1">
        <v>2863767</v>
      </c>
      <c r="E43">
        <f t="shared" si="3"/>
        <v>7.9749616457869186</v>
      </c>
      <c r="F43">
        <f t="shared" si="1"/>
        <v>1.8318609755384536</v>
      </c>
      <c r="G43">
        <f t="shared" si="2"/>
        <v>7.6025799864677168</v>
      </c>
      <c r="H43">
        <f t="shared" si="0"/>
        <v>7.3274439021538145</v>
      </c>
    </row>
    <row r="44" spans="1:8" x14ac:dyDescent="0.2">
      <c r="A44" t="s">
        <v>49</v>
      </c>
      <c r="B44" s="1">
        <v>2807426.3227923093</v>
      </c>
      <c r="C44">
        <v>0.73457653020049918</v>
      </c>
      <c r="D44" s="1">
        <v>2692052</v>
      </c>
      <c r="E44">
        <f t="shared" si="3"/>
        <v>7.0691732247920012</v>
      </c>
      <c r="F44">
        <f t="shared" si="1"/>
        <v>0.73189165708808723</v>
      </c>
      <c r="G44">
        <f t="shared" si="2"/>
        <v>2.9708411244817379</v>
      </c>
      <c r="H44">
        <f t="shared" si="0"/>
        <v>2.9275666283523489</v>
      </c>
    </row>
    <row r="45" spans="1:8" x14ac:dyDescent="0.2">
      <c r="A45" t="s">
        <v>50</v>
      </c>
      <c r="B45" s="1">
        <v>2838508.048399895</v>
      </c>
      <c r="C45">
        <v>1.1071252468941424</v>
      </c>
      <c r="D45" s="1">
        <v>3011152</v>
      </c>
      <c r="E45">
        <f t="shared" si="3"/>
        <v>6.2989260149517019</v>
      </c>
      <c r="F45">
        <f t="shared" si="1"/>
        <v>1.1010414774458379</v>
      </c>
      <c r="G45">
        <f t="shared" si="2"/>
        <v>4.5025888817386228</v>
      </c>
      <c r="H45">
        <f t="shared" si="0"/>
        <v>4.4041659097833517</v>
      </c>
    </row>
    <row r="46" spans="1:8" x14ac:dyDescent="0.2">
      <c r="A46" t="s">
        <v>51</v>
      </c>
      <c r="B46" s="1">
        <v>2856367.5105825095</v>
      </c>
      <c r="C46">
        <v>0.62918483506439316</v>
      </c>
      <c r="D46" s="1">
        <v>2743209</v>
      </c>
      <c r="E46">
        <f t="shared" si="3"/>
        <v>4.8270256575455379</v>
      </c>
      <c r="F46">
        <f t="shared" si="1"/>
        <v>0.62721373088618382</v>
      </c>
      <c r="G46">
        <f t="shared" si="2"/>
        <v>2.5405915414293823</v>
      </c>
      <c r="H46">
        <f t="shared" si="0"/>
        <v>2.5088549235447353</v>
      </c>
    </row>
    <row r="47" spans="1:8" x14ac:dyDescent="0.2">
      <c r="A47" t="s">
        <v>52</v>
      </c>
      <c r="B47" s="1">
        <v>2887266.0815830729</v>
      </c>
      <c r="C47">
        <v>1.0817435391660126</v>
      </c>
      <c r="D47" s="1">
        <v>2965726</v>
      </c>
      <c r="E47">
        <f t="shared" si="3"/>
        <v>3.5603105978943117</v>
      </c>
      <c r="F47">
        <f t="shared" si="1"/>
        <v>1.0759345484503458</v>
      </c>
      <c r="G47">
        <f t="shared" si="2"/>
        <v>4.3976920001701725</v>
      </c>
      <c r="H47">
        <f t="shared" si="0"/>
        <v>4.303738193801383</v>
      </c>
    </row>
    <row r="48" spans="1:8" x14ac:dyDescent="0.2">
      <c r="A48" t="s">
        <v>53</v>
      </c>
      <c r="B48" s="1">
        <v>2893781.1079826723</v>
      </c>
      <c r="C48">
        <v>0.22564689971447649</v>
      </c>
      <c r="D48" s="1">
        <v>2773776</v>
      </c>
      <c r="E48">
        <f t="shared" si="3"/>
        <v>3.0357511667679526</v>
      </c>
      <c r="F48">
        <f t="shared" si="1"/>
        <v>0.22539269942261669</v>
      </c>
      <c r="G48">
        <f t="shared" si="2"/>
        <v>0.90564718851366965</v>
      </c>
      <c r="H48">
        <f t="shared" si="0"/>
        <v>0.90157079769046677</v>
      </c>
    </row>
    <row r="49" spans="1:8" x14ac:dyDescent="0.2">
      <c r="A49" t="s">
        <v>54</v>
      </c>
      <c r="B49" s="1">
        <v>2946830.2455456313</v>
      </c>
      <c r="C49">
        <v>1.8332118285180599</v>
      </c>
      <c r="D49" s="1">
        <v>3132649</v>
      </c>
      <c r="E49">
        <f t="shared" si="3"/>
        <v>4.0349009282825978</v>
      </c>
      <c r="F49">
        <f t="shared" si="1"/>
        <v>1.8166110781428337</v>
      </c>
      <c r="G49">
        <f t="shared" si="2"/>
        <v>7.5369628694165414</v>
      </c>
      <c r="H49">
        <f t="shared" si="0"/>
        <v>7.2664443125713349</v>
      </c>
    </row>
    <row r="50" spans="1:8" x14ac:dyDescent="0.2">
      <c r="A50" t="s">
        <v>55</v>
      </c>
      <c r="B50" s="1">
        <v>3030070.7696397072</v>
      </c>
      <c r="C50">
        <v>2.8247478530499137</v>
      </c>
      <c r="D50" s="1">
        <v>2908899</v>
      </c>
      <c r="E50">
        <f t="shared" si="3"/>
        <v>6.0400064304250964</v>
      </c>
      <c r="F50">
        <f t="shared" si="1"/>
        <v>2.7855875930397445</v>
      </c>
      <c r="G50">
        <f t="shared" si="2"/>
        <v>11.786822797555029</v>
      </c>
      <c r="H50">
        <f t="shared" si="0"/>
        <v>11.142350372158978</v>
      </c>
    </row>
    <row r="51" spans="1:8" x14ac:dyDescent="0.2">
      <c r="A51" t="s">
        <v>56</v>
      </c>
      <c r="B51" s="1">
        <v>3066421.2891545496</v>
      </c>
      <c r="C51">
        <v>1.1996590930833264</v>
      </c>
      <c r="D51" s="1">
        <v>3150174</v>
      </c>
      <c r="E51">
        <f t="shared" si="3"/>
        <v>6.2193203283108422</v>
      </c>
      <c r="F51">
        <f t="shared" si="1"/>
        <v>1.1925202214178234</v>
      </c>
      <c r="G51">
        <f t="shared" si="2"/>
        <v>4.885679971035195</v>
      </c>
      <c r="H51">
        <f t="shared" si="0"/>
        <v>4.7700808856712937</v>
      </c>
    </row>
    <row r="52" spans="1:8" x14ac:dyDescent="0.2">
      <c r="A52" t="s">
        <v>57</v>
      </c>
      <c r="B52" s="1">
        <v>3121386.8977272958</v>
      </c>
      <c r="C52">
        <v>1.7925002271263537</v>
      </c>
      <c r="D52" s="1">
        <v>2979022</v>
      </c>
      <c r="E52">
        <f t="shared" si="3"/>
        <v>7.3995160387861167</v>
      </c>
      <c r="F52">
        <f t="shared" si="1"/>
        <v>1.7766243775212229</v>
      </c>
      <c r="G52">
        <f t="shared" si="2"/>
        <v>7.3650984183029955</v>
      </c>
      <c r="H52">
        <f t="shared" si="0"/>
        <v>7.1064975100848917</v>
      </c>
    </row>
    <row r="53" spans="1:8" x14ac:dyDescent="0.2">
      <c r="A53" t="s">
        <v>58</v>
      </c>
      <c r="B53" s="1">
        <v>3183717.4076146591</v>
      </c>
      <c r="C53">
        <v>1.9968851004259278</v>
      </c>
      <c r="D53" s="1">
        <v>3378370</v>
      </c>
      <c r="E53">
        <f t="shared" si="3"/>
        <v>7.8438727096460532</v>
      </c>
      <c r="F53">
        <f t="shared" si="1"/>
        <v>1.9772088598760076</v>
      </c>
      <c r="G53">
        <f t="shared" si="2"/>
        <v>8.2299943802739186</v>
      </c>
      <c r="H53">
        <f t="shared" si="0"/>
        <v>7.9088354395040303</v>
      </c>
    </row>
    <row r="54" spans="1:8" x14ac:dyDescent="0.2">
      <c r="A54" t="s">
        <v>59</v>
      </c>
      <c r="B54" s="1">
        <v>3263787.2910148259</v>
      </c>
      <c r="C54">
        <v>2.5149808588117679</v>
      </c>
      <c r="D54" s="1">
        <v>3129776</v>
      </c>
      <c r="E54">
        <f t="shared" si="3"/>
        <v>7.5931477854679725</v>
      </c>
      <c r="F54">
        <f t="shared" si="1"/>
        <v>2.4838756630925753</v>
      </c>
      <c r="G54">
        <f t="shared" si="2"/>
        <v>10.445834196776094</v>
      </c>
      <c r="H54">
        <f t="shared" si="0"/>
        <v>9.9355026523703014</v>
      </c>
    </row>
    <row r="55" spans="1:8" x14ac:dyDescent="0.2">
      <c r="A55" t="s">
        <v>60</v>
      </c>
      <c r="B55" s="1">
        <v>3289027.4189256737</v>
      </c>
      <c r="C55">
        <v>0.77333862964457012</v>
      </c>
      <c r="D55" s="1">
        <v>3386829</v>
      </c>
      <c r="E55">
        <f t="shared" si="3"/>
        <v>7.5124421698610933</v>
      </c>
      <c r="F55">
        <f t="shared" si="1"/>
        <v>0.77036369417051842</v>
      </c>
      <c r="G55">
        <f t="shared" si="2"/>
        <v>3.1294230332936879</v>
      </c>
      <c r="H55">
        <f t="shared" si="0"/>
        <v>3.0814547766820737</v>
      </c>
    </row>
    <row r="56" spans="1:8" x14ac:dyDescent="0.2">
      <c r="A56" t="s">
        <v>61</v>
      </c>
      <c r="B56" s="1">
        <v>3339201.8507789429</v>
      </c>
      <c r="C56">
        <v>1.525509686071814</v>
      </c>
      <c r="D56" s="1">
        <v>3178884</v>
      </c>
      <c r="E56">
        <f t="shared" si="3"/>
        <v>6.7089803297860833</v>
      </c>
      <c r="F56">
        <f t="shared" si="1"/>
        <v>1.5139907872794411</v>
      </c>
      <c r="G56">
        <f t="shared" si="2"/>
        <v>6.2430950023228959</v>
      </c>
      <c r="H56">
        <f t="shared" si="0"/>
        <v>6.0559631491177646</v>
      </c>
    </row>
    <row r="57" spans="1:8" x14ac:dyDescent="0.2">
      <c r="A57" t="s">
        <v>62</v>
      </c>
      <c r="B57" s="1">
        <v>3361826.1548259817</v>
      </c>
      <c r="C57">
        <v>0.67753628136499344</v>
      </c>
      <c r="D57" s="1">
        <v>3559155</v>
      </c>
      <c r="E57">
        <f t="shared" si="3"/>
        <v>5.351249271098192</v>
      </c>
      <c r="F57">
        <f t="shared" si="1"/>
        <v>0.67525131945972761</v>
      </c>
      <c r="G57">
        <f t="shared" si="2"/>
        <v>2.7378130716246618</v>
      </c>
      <c r="H57">
        <f t="shared" si="0"/>
        <v>2.7010052778389104</v>
      </c>
    </row>
    <row r="58" spans="1:8" x14ac:dyDescent="0.2">
      <c r="A58" t="s">
        <v>63</v>
      </c>
      <c r="B58" s="1">
        <v>3454628.5088919569</v>
      </c>
      <c r="C58">
        <v>2.760474509746885</v>
      </c>
      <c r="D58" s="1">
        <v>3308136</v>
      </c>
      <c r="E58">
        <f t="shared" si="3"/>
        <v>5.6988103940984915</v>
      </c>
      <c r="F58">
        <f t="shared" si="1"/>
        <v>2.7230603893250112</v>
      </c>
      <c r="G58">
        <f t="shared" si="2"/>
        <v>11.507583446567082</v>
      </c>
      <c r="H58">
        <f t="shared" si="0"/>
        <v>10.892241557300045</v>
      </c>
    </row>
    <row r="59" spans="1:8" x14ac:dyDescent="0.2">
      <c r="A59" t="s">
        <v>64</v>
      </c>
      <c r="B59" s="1">
        <v>3503781.0558891678</v>
      </c>
      <c r="C59">
        <v>1.4228026796715199</v>
      </c>
      <c r="D59" s="1">
        <v>3621756</v>
      </c>
      <c r="E59">
        <f t="shared" si="3"/>
        <v>6.9364883789527019</v>
      </c>
      <c r="F59">
        <f t="shared" si="1"/>
        <v>1.412775838535888</v>
      </c>
      <c r="G59">
        <f t="shared" si="2"/>
        <v>5.8138289748482563</v>
      </c>
      <c r="H59">
        <f t="shared" si="0"/>
        <v>5.6511033541435518</v>
      </c>
    </row>
    <row r="60" spans="1:8" x14ac:dyDescent="0.2">
      <c r="A60" t="s">
        <v>65</v>
      </c>
      <c r="B60" s="1">
        <v>3541800.3190810326</v>
      </c>
      <c r="C60">
        <v>1.0850924354408988</v>
      </c>
      <c r="D60" s="1">
        <v>3367553</v>
      </c>
      <c r="E60">
        <f t="shared" si="3"/>
        <v>5.9350702951098562</v>
      </c>
      <c r="F60">
        <f t="shared" si="1"/>
        <v>1.0792475510593571</v>
      </c>
      <c r="G60">
        <f t="shared" si="2"/>
        <v>4.4115277099435968</v>
      </c>
      <c r="H60">
        <f t="shared" si="0"/>
        <v>4.3169902042374284</v>
      </c>
    </row>
    <row r="61" spans="1:8" x14ac:dyDescent="0.2">
      <c r="A61" t="s">
        <v>66</v>
      </c>
      <c r="B61" s="1">
        <v>3590445.0560778882</v>
      </c>
      <c r="C61">
        <v>1.3734466264172909</v>
      </c>
      <c r="D61" s="1">
        <v>3798601</v>
      </c>
      <c r="E61">
        <f t="shared" si="3"/>
        <v>6.7276080979895516</v>
      </c>
      <c r="F61">
        <f t="shared" si="1"/>
        <v>1.3641003286114168</v>
      </c>
      <c r="G61">
        <f t="shared" si="2"/>
        <v>5.6080077256573713</v>
      </c>
      <c r="H61">
        <f t="shared" si="0"/>
        <v>5.4564013144456673</v>
      </c>
    </row>
    <row r="62" spans="1:8" x14ac:dyDescent="0.2">
      <c r="A62" t="s">
        <v>67</v>
      </c>
      <c r="B62" s="1">
        <v>3649669.127444</v>
      </c>
      <c r="C62">
        <v>1.6494910920822292</v>
      </c>
      <c r="D62" s="1">
        <v>3481796</v>
      </c>
      <c r="E62">
        <f t="shared" si="3"/>
        <v>5.2494818834534014</v>
      </c>
      <c r="F62">
        <f t="shared" si="1"/>
        <v>1.6360347601348511</v>
      </c>
      <c r="G62">
        <f t="shared" si="2"/>
        <v>6.7630162108771819</v>
      </c>
      <c r="H62">
        <f t="shared" si="0"/>
        <v>6.5441390405394042</v>
      </c>
    </row>
    <row r="63" spans="1:8" x14ac:dyDescent="0.2">
      <c r="A63" t="s">
        <v>68</v>
      </c>
      <c r="B63" s="1">
        <v>3717218.8975336775</v>
      </c>
      <c r="C63">
        <v>1.8508464118495453</v>
      </c>
      <c r="D63" s="1">
        <v>3853504</v>
      </c>
      <c r="E63">
        <f t="shared" si="3"/>
        <v>6.3987745171126935</v>
      </c>
      <c r="F63">
        <f t="shared" si="1"/>
        <v>1.8339267026722055</v>
      </c>
      <c r="G63">
        <f t="shared" si="2"/>
        <v>7.6114714565753028</v>
      </c>
      <c r="H63">
        <f t="shared" si="0"/>
        <v>7.3357068106888219</v>
      </c>
    </row>
    <row r="64" spans="1:8" x14ac:dyDescent="0.2">
      <c r="A64" t="s">
        <v>69</v>
      </c>
      <c r="B64" s="1">
        <v>3759892.8019998027</v>
      </c>
      <c r="C64">
        <v>1.1480062283778523</v>
      </c>
      <c r="D64" s="1">
        <v>3589388</v>
      </c>
      <c r="E64">
        <f t="shared" si="3"/>
        <v>6.5874241622923231</v>
      </c>
      <c r="F64">
        <f t="shared" si="1"/>
        <v>1.1414666392128134</v>
      </c>
      <c r="G64">
        <f t="shared" si="2"/>
        <v>4.6717069398106492</v>
      </c>
      <c r="H64">
        <f t="shared" si="0"/>
        <v>4.5658665568512538</v>
      </c>
    </row>
    <row r="65" spans="1:8" x14ac:dyDescent="0.2">
      <c r="A65" t="s">
        <v>70</v>
      </c>
      <c r="B65" s="1">
        <v>3842240.848600151</v>
      </c>
      <c r="C65">
        <v>2.1901700643313262</v>
      </c>
      <c r="D65" s="1">
        <v>4066219</v>
      </c>
      <c r="E65">
        <f t="shared" si="3"/>
        <v>7.0451726833115664</v>
      </c>
      <c r="F65">
        <f t="shared" si="1"/>
        <v>2.1665303832032015</v>
      </c>
      <c r="G65">
        <f t="shared" si="2"/>
        <v>9.0527163241386646</v>
      </c>
      <c r="H65">
        <f t="shared" si="0"/>
        <v>8.6661215328128058</v>
      </c>
    </row>
    <row r="66" spans="1:8" x14ac:dyDescent="0.2">
      <c r="A66" t="s">
        <v>71</v>
      </c>
      <c r="B66" s="1">
        <v>3910765.815133865</v>
      </c>
      <c r="C66">
        <v>1.7834635889283135</v>
      </c>
      <c r="D66" s="1">
        <v>3722688</v>
      </c>
      <c r="E66">
        <f t="shared" si="3"/>
        <v>6.9186132674056724</v>
      </c>
      <c r="F66">
        <f t="shared" si="1"/>
        <v>1.7677464746150173</v>
      </c>
      <c r="G66">
        <f t="shared" si="2"/>
        <v>7.3269781105004927</v>
      </c>
      <c r="H66">
        <f t="shared" si="0"/>
        <v>7.0709858984600693</v>
      </c>
    </row>
    <row r="67" spans="1:8" x14ac:dyDescent="0.2">
      <c r="A67" t="s">
        <v>72</v>
      </c>
      <c r="B67" s="1">
        <v>3988154.5332754506</v>
      </c>
      <c r="C67">
        <v>1.9788635218735777</v>
      </c>
      <c r="D67" s="1">
        <v>4140186</v>
      </c>
      <c r="E67">
        <f t="shared" si="3"/>
        <v>7.4395147896563749</v>
      </c>
      <c r="F67">
        <f t="shared" ref="F67:F77" si="4">LN(1+C67/100)*100</f>
        <v>1.9595385449283083</v>
      </c>
      <c r="G67">
        <f t="shared" ref="G67:G77" si="5">(((1+C67/100)^4)-1)*100</f>
        <v>8.1535230853954097</v>
      </c>
      <c r="H67">
        <f t="shared" ref="H67:H77" si="6">LN(B67/B66)*400</f>
        <v>7.838154179713233</v>
      </c>
    </row>
    <row r="68" spans="1:8" x14ac:dyDescent="0.2">
      <c r="A68" t="s">
        <v>73</v>
      </c>
      <c r="B68" s="1">
        <v>4042415.3915454457</v>
      </c>
      <c r="C68">
        <v>1.360550545804216</v>
      </c>
      <c r="D68" s="1">
        <v>3852483</v>
      </c>
      <c r="E68">
        <f t="shared" si="3"/>
        <v>7.329801069151622</v>
      </c>
      <c r="F68">
        <f t="shared" si="4"/>
        <v>1.3513781598480623</v>
      </c>
      <c r="G68">
        <f t="shared" si="5"/>
        <v>5.5542788818833344</v>
      </c>
      <c r="H68">
        <f t="shared" si="6"/>
        <v>5.4055126393922492</v>
      </c>
    </row>
    <row r="69" spans="1:8" x14ac:dyDescent="0.2">
      <c r="A69" t="s">
        <v>74</v>
      </c>
      <c r="B69" s="1">
        <v>4100567.2202794226</v>
      </c>
      <c r="C69">
        <v>1.4385416416036634</v>
      </c>
      <c r="D69" s="1">
        <v>4347319</v>
      </c>
      <c r="E69">
        <f t="shared" si="3"/>
        <v>6.9130560847804805</v>
      </c>
      <c r="F69">
        <f t="shared" si="4"/>
        <v>1.4282928036002593</v>
      </c>
      <c r="G69">
        <f t="shared" si="5"/>
        <v>5.8795257405287016</v>
      </c>
      <c r="H69">
        <f t="shared" si="6"/>
        <v>5.7131712144010374</v>
      </c>
    </row>
    <row r="70" spans="1:8" x14ac:dyDescent="0.2">
      <c r="A70" t="s">
        <v>75</v>
      </c>
      <c r="B70" s="1">
        <v>4177985.2388360887</v>
      </c>
      <c r="C70">
        <v>1.8879831593491332</v>
      </c>
      <c r="D70" s="1">
        <v>3959977</v>
      </c>
      <c r="E70">
        <f t="shared" si="3"/>
        <v>6.3741307356404837</v>
      </c>
      <c r="F70">
        <f t="shared" si="4"/>
        <v>1.8703819507847366</v>
      </c>
      <c r="G70">
        <f t="shared" si="5"/>
        <v>7.7685060391105898</v>
      </c>
      <c r="H70">
        <f t="shared" si="6"/>
        <v>7.4815278031389463</v>
      </c>
    </row>
    <row r="71" spans="1:8" x14ac:dyDescent="0.2">
      <c r="A71" t="s">
        <v>76</v>
      </c>
      <c r="B71" s="1">
        <v>4275911.5292453319</v>
      </c>
      <c r="C71">
        <v>2.3438639633998264</v>
      </c>
      <c r="D71" s="1">
        <v>4437331</v>
      </c>
      <c r="E71">
        <f t="shared" si="3"/>
        <v>7.1770930098309593</v>
      </c>
      <c r="F71">
        <f t="shared" si="4"/>
        <v>2.3168172816424168</v>
      </c>
      <c r="G71">
        <f t="shared" si="5"/>
        <v>9.71025852362426</v>
      </c>
      <c r="H71">
        <f t="shared" si="6"/>
        <v>9.2672691265696674</v>
      </c>
    </row>
    <row r="72" spans="1:8" x14ac:dyDescent="0.2">
      <c r="A72" t="s">
        <v>77</v>
      </c>
      <c r="B72" s="1">
        <v>4352997.1678417753</v>
      </c>
      <c r="C72">
        <v>1.8027884363184654</v>
      </c>
      <c r="D72" s="1">
        <v>4142636</v>
      </c>
      <c r="E72">
        <f t="shared" si="3"/>
        <v>7.5315841757121316</v>
      </c>
      <c r="F72">
        <f t="shared" si="4"/>
        <v>1.7867309072630531</v>
      </c>
      <c r="G72">
        <f t="shared" si="5"/>
        <v>7.4085107350851498</v>
      </c>
      <c r="H72">
        <f t="shared" si="6"/>
        <v>7.1469236290522122</v>
      </c>
    </row>
    <row r="73" spans="1:8" x14ac:dyDescent="0.2">
      <c r="A73" t="s">
        <v>78</v>
      </c>
      <c r="B73" s="1">
        <v>4361722.4770113565</v>
      </c>
      <c r="C73">
        <v>0.2004437134496726</v>
      </c>
      <c r="D73" s="1">
        <v>4636033</v>
      </c>
      <c r="E73">
        <f t="shared" si="3"/>
        <v>6.6411965627551144</v>
      </c>
      <c r="F73">
        <f t="shared" si="4"/>
        <v>0.20024309308090976</v>
      </c>
      <c r="G73">
        <f t="shared" si="5"/>
        <v>0.80418873769414478</v>
      </c>
      <c r="H73">
        <f t="shared" si="6"/>
        <v>0.80097237232363905</v>
      </c>
    </row>
    <row r="74" spans="1:8" x14ac:dyDescent="0.2">
      <c r="A74" t="s">
        <v>79</v>
      </c>
      <c r="B74" s="1">
        <v>4456678.2779367426</v>
      </c>
      <c r="C74">
        <v>2.1770252790234821</v>
      </c>
      <c r="D74" s="1">
        <v>4215576</v>
      </c>
      <c r="E74">
        <f t="shared" si="3"/>
        <v>6.4545576906128499</v>
      </c>
      <c r="F74">
        <f t="shared" si="4"/>
        <v>2.1536664934738421</v>
      </c>
      <c r="G74">
        <f t="shared" si="5"/>
        <v>8.9966170737685971</v>
      </c>
      <c r="H74">
        <f t="shared" si="6"/>
        <v>8.6146659738953684</v>
      </c>
    </row>
    <row r="75" spans="1:8" x14ac:dyDescent="0.2">
      <c r="A75" t="s">
        <v>80</v>
      </c>
      <c r="B75" s="1">
        <v>4555922.4951899592</v>
      </c>
      <c r="C75">
        <v>2.2268651911567332</v>
      </c>
      <c r="D75" s="1">
        <v>4720384</v>
      </c>
      <c r="E75">
        <f t="shared" ref="E75:E93" si="7">(D75-D71)/D71*100</f>
        <v>6.3789020922712325</v>
      </c>
      <c r="F75">
        <f t="shared" si="4"/>
        <v>2.2024326035574866</v>
      </c>
      <c r="G75">
        <f t="shared" si="5"/>
        <v>9.2094382165504705</v>
      </c>
      <c r="H75">
        <f t="shared" si="6"/>
        <v>8.8097304142299464</v>
      </c>
    </row>
    <row r="76" spans="1:8" x14ac:dyDescent="0.2">
      <c r="A76" t="s">
        <v>81</v>
      </c>
      <c r="B76" s="1">
        <v>4615801.5713123204</v>
      </c>
      <c r="C76">
        <v>1.3143128792375336</v>
      </c>
      <c r="D76" s="1">
        <v>4397241</v>
      </c>
      <c r="E76">
        <f t="shared" si="7"/>
        <v>6.1459659984608832</v>
      </c>
      <c r="F76">
        <f t="shared" si="4"/>
        <v>1.3057507282194178</v>
      </c>
      <c r="G76">
        <f t="shared" si="5"/>
        <v>5.3618077488672755</v>
      </c>
      <c r="H76">
        <f t="shared" si="6"/>
        <v>5.2230029128776714</v>
      </c>
    </row>
    <row r="77" spans="1:8" x14ac:dyDescent="0.2">
      <c r="A77" t="s">
        <v>82</v>
      </c>
      <c r="B77" s="1">
        <v>4618420.4186468236</v>
      </c>
      <c r="C77">
        <v>5.6736566640552155E-2</v>
      </c>
      <c r="D77" s="1">
        <v>4931988</v>
      </c>
      <c r="E77">
        <f t="shared" si="7"/>
        <v>6.3837983897008499</v>
      </c>
      <c r="F77">
        <f t="shared" si="4"/>
        <v>5.672047753590366E-2</v>
      </c>
      <c r="G77">
        <f t="shared" si="5"/>
        <v>0.22713948190711264</v>
      </c>
      <c r="H77">
        <f t="shared" si="6"/>
        <v>0.22688191014361464</v>
      </c>
    </row>
    <row r="78" spans="1:8" x14ac:dyDescent="0.2">
      <c r="A78" t="s">
        <v>83</v>
      </c>
      <c r="B78" s="1">
        <v>4730158.8014459983</v>
      </c>
      <c r="C78">
        <v>2.4194069112467957</v>
      </c>
      <c r="D78" s="1">
        <v>4463186</v>
      </c>
      <c r="E78">
        <f t="shared" si="7"/>
        <v>5.8736931797695027</v>
      </c>
      <c r="F78">
        <f>LN(1+C78/100)*100</f>
        <v>2.3906029278197085</v>
      </c>
      <c r="G78">
        <f t="shared" ref="G78:G84" si="8">(((1+C78/100)^4)-1)*100</f>
        <v>10.034538525113135</v>
      </c>
      <c r="H78">
        <f t="shared" ref="H78:H80" si="9">LN(B78/B77)*400</f>
        <v>9.562411711278834</v>
      </c>
    </row>
    <row r="79" spans="1:8" x14ac:dyDescent="0.2">
      <c r="A79" t="s">
        <v>84</v>
      </c>
      <c r="B79" s="1">
        <v>4828558.9921817398</v>
      </c>
      <c r="C79">
        <v>2.0802724573572675</v>
      </c>
      <c r="D79" s="1">
        <v>4985924</v>
      </c>
      <c r="E79">
        <f t="shared" si="7"/>
        <v>5.6253897987960304</v>
      </c>
      <c r="F79">
        <f t="shared" ref="F79:F93" si="10">LN(1+C79/100)*100</f>
        <v>2.058930266200973</v>
      </c>
      <c r="G79">
        <f t="shared" si="8"/>
        <v>8.5843615462823042</v>
      </c>
      <c r="H79">
        <f t="shared" si="9"/>
        <v>8.2357210648038919</v>
      </c>
    </row>
    <row r="80" spans="1:8" x14ac:dyDescent="0.2">
      <c r="A80" t="s">
        <v>85</v>
      </c>
      <c r="B80" s="1">
        <v>4909549.3371805651</v>
      </c>
      <c r="C80">
        <v>1.677319157329606</v>
      </c>
      <c r="D80" s="1">
        <v>4675544</v>
      </c>
      <c r="E80">
        <f t="shared" si="7"/>
        <v>6.3290367755599473</v>
      </c>
      <c r="F80">
        <f t="shared" si="10"/>
        <v>1.6634075059001445</v>
      </c>
      <c r="G80">
        <f t="shared" si="8"/>
        <v>6.8799761054568753</v>
      </c>
      <c r="H80">
        <f t="shared" si="9"/>
        <v>6.6536300236005781</v>
      </c>
    </row>
    <row r="81" spans="1:8" x14ac:dyDescent="0.2">
      <c r="A81" t="s">
        <v>86</v>
      </c>
      <c r="B81" s="1">
        <v>4884254.5421044752</v>
      </c>
      <c r="C81">
        <v>-0.51521623144775219</v>
      </c>
      <c r="D81" s="1">
        <v>5258096</v>
      </c>
      <c r="E81">
        <f t="shared" si="7"/>
        <v>6.6121004349564512</v>
      </c>
      <c r="F81">
        <f t="shared" si="10"/>
        <v>-0.51654804672861565</v>
      </c>
      <c r="G81">
        <f t="shared" si="8"/>
        <v>-2.0449926946185526</v>
      </c>
      <c r="H81">
        <f>LN(B81/B80)*400</f>
        <v>-2.0661921869144626</v>
      </c>
    </row>
    <row r="82" spans="1:8" x14ac:dyDescent="0.2">
      <c r="A82" t="s">
        <v>87</v>
      </c>
      <c r="B82" s="1">
        <v>4710679.3667654954</v>
      </c>
      <c r="C82">
        <v>-3.5537700552394114</v>
      </c>
      <c r="D82" s="1">
        <v>4433805</v>
      </c>
      <c r="E82">
        <f t="shared" si="7"/>
        <v>-0.65829656214193177</v>
      </c>
      <c r="F82">
        <f t="shared" si="10"/>
        <v>-3.6184535583202821</v>
      </c>
      <c r="G82">
        <f t="shared" si="8"/>
        <v>-13.475116450988356</v>
      </c>
      <c r="H82">
        <f>LN(B82/B81)*400</f>
        <v>-14.473814233281129</v>
      </c>
    </row>
    <row r="83" spans="1:8" x14ac:dyDescent="0.2">
      <c r="A83" t="s">
        <v>88</v>
      </c>
      <c r="B83" s="1">
        <v>4056177.7306731492</v>
      </c>
      <c r="C83">
        <v>-13.893996706928249</v>
      </c>
      <c r="D83" s="1">
        <v>4142943</v>
      </c>
      <c r="E83">
        <f t="shared" si="7"/>
        <v>-16.907217197855402</v>
      </c>
      <c r="F83">
        <f t="shared" si="10"/>
        <v>-14.959105232684875</v>
      </c>
      <c r="G83">
        <f t="shared" si="8"/>
        <v>-45.028988828097106</v>
      </c>
      <c r="H83">
        <f>LN(B83/B82)*400</f>
        <v>-59.8364209307395</v>
      </c>
    </row>
    <row r="84" spans="1:8" x14ac:dyDescent="0.2">
      <c r="A84" t="s">
        <v>89</v>
      </c>
      <c r="B84" s="1">
        <v>4341447.1685261838</v>
      </c>
      <c r="C84">
        <v>7.0329619852651746</v>
      </c>
      <c r="D84" s="1">
        <v>4135499</v>
      </c>
      <c r="E84">
        <f t="shared" si="7"/>
        <v>-11.550420656933182</v>
      </c>
      <c r="F84">
        <f t="shared" si="10"/>
        <v>6.7966656971384749</v>
      </c>
      <c r="G84">
        <f t="shared" si="8"/>
        <v>31.241195048103876</v>
      </c>
      <c r="H84">
        <f t="shared" ref="H84:H93" si="11">LN(B84/B83)*400</f>
        <v>27.1866627885539</v>
      </c>
    </row>
    <row r="85" spans="1:8" x14ac:dyDescent="0.2">
      <c r="A85" t="s">
        <v>90</v>
      </c>
      <c r="B85" s="1">
        <v>4439717.4219126981</v>
      </c>
      <c r="C85">
        <v>2.2635367786791392</v>
      </c>
      <c r="D85" s="1">
        <v>4825596</v>
      </c>
      <c r="E85">
        <f t="shared" si="7"/>
        <v>-8.2254108711594451</v>
      </c>
      <c r="F85">
        <f t="shared" si="10"/>
        <v>2.2382989205701884</v>
      </c>
      <c r="G85">
        <f t="shared" ref="G85:G93" si="12">(((1+C85/100)^4)-1)*100</f>
        <v>9.3662282725692094</v>
      </c>
      <c r="H85">
        <f t="shared" si="11"/>
        <v>8.9531956822807537</v>
      </c>
    </row>
    <row r="86" spans="1:8" x14ac:dyDescent="0.2">
      <c r="A86" t="s">
        <v>91</v>
      </c>
      <c r="B86" s="1">
        <v>4501909.6257873829</v>
      </c>
      <c r="C86">
        <v>1.400814465527219</v>
      </c>
      <c r="D86" s="1">
        <v>4266797</v>
      </c>
      <c r="E86">
        <f t="shared" si="7"/>
        <v>-3.7666970017851487</v>
      </c>
      <c r="F86">
        <f t="shared" si="10"/>
        <v>1.3910937341143919</v>
      </c>
      <c r="G86">
        <f t="shared" si="12"/>
        <v>5.7220980994036497</v>
      </c>
      <c r="H86">
        <f t="shared" si="11"/>
        <v>5.5643749364575674</v>
      </c>
    </row>
    <row r="87" spans="1:8" x14ac:dyDescent="0.2">
      <c r="A87" t="s">
        <v>92</v>
      </c>
      <c r="B87" s="1">
        <v>4570105.3398903962</v>
      </c>
      <c r="C87">
        <v>1.5148174835048138</v>
      </c>
      <c r="D87" s="1">
        <v>4641825</v>
      </c>
      <c r="E87">
        <f t="shared" si="7"/>
        <v>12.041729755876439</v>
      </c>
      <c r="F87">
        <f t="shared" si="10"/>
        <v>1.5034586898129598</v>
      </c>
      <c r="G87">
        <f t="shared" si="12"/>
        <v>6.1983459237496374</v>
      </c>
      <c r="H87">
        <f t="shared" si="11"/>
        <v>6.0138347592518393</v>
      </c>
    </row>
    <row r="88" spans="1:8" x14ac:dyDescent="0.2">
      <c r="A88" t="s">
        <v>93</v>
      </c>
      <c r="B88" s="1">
        <v>4658056.1688356074</v>
      </c>
      <c r="C88">
        <v>1.9244814376055501</v>
      </c>
      <c r="D88" s="1">
        <v>4426630</v>
      </c>
      <c r="E88">
        <f t="shared" si="7"/>
        <v>7.0398034191278978</v>
      </c>
      <c r="F88">
        <f t="shared" si="10"/>
        <v>1.9061975018294226</v>
      </c>
      <c r="G88">
        <f t="shared" si="12"/>
        <v>7.9230082214636122</v>
      </c>
      <c r="H88">
        <f t="shared" si="11"/>
        <v>7.6247900073176904</v>
      </c>
    </row>
    <row r="89" spans="1:8" x14ac:dyDescent="0.2">
      <c r="A89" t="s">
        <v>94</v>
      </c>
      <c r="B89" s="1">
        <v>4776988.3614356788</v>
      </c>
      <c r="C89">
        <v>2.5532580177065825</v>
      </c>
      <c r="D89" s="1">
        <v>5204832</v>
      </c>
      <c r="E89">
        <f t="shared" si="7"/>
        <v>7.8588427211892586</v>
      </c>
      <c r="F89">
        <f t="shared" si="10"/>
        <v>2.5212068066661013</v>
      </c>
      <c r="G89">
        <f t="shared" si="12"/>
        <v>10.610880164942603</v>
      </c>
      <c r="H89">
        <f t="shared" si="11"/>
        <v>10.084827226664405</v>
      </c>
    </row>
    <row r="90" spans="1:8" x14ac:dyDescent="0.2">
      <c r="A90" t="s">
        <v>95</v>
      </c>
      <c r="B90" s="1">
        <v>4854998.8738973467</v>
      </c>
      <c r="C90">
        <v>1.6330479908940561</v>
      </c>
      <c r="D90" s="1">
        <v>4611219</v>
      </c>
      <c r="E90">
        <f t="shared" si="7"/>
        <v>8.0721440462248388</v>
      </c>
      <c r="F90">
        <f t="shared" si="10"/>
        <v>1.6198571766609164</v>
      </c>
      <c r="G90">
        <f t="shared" si="12"/>
        <v>6.6939518549076427</v>
      </c>
      <c r="H90">
        <f t="shared" si="11"/>
        <v>6.4794287066436658</v>
      </c>
    </row>
    <row r="91" spans="1:8" x14ac:dyDescent="0.2">
      <c r="A91" t="s">
        <v>96</v>
      </c>
      <c r="B91" s="1">
        <v>4943399.9142638203</v>
      </c>
      <c r="C91">
        <v>1.8208251466701029</v>
      </c>
      <c r="D91" s="1">
        <v>4990934</v>
      </c>
      <c r="E91">
        <f t="shared" si="7"/>
        <v>7.5209427326536433</v>
      </c>
      <c r="F91">
        <f t="shared" si="10"/>
        <v>1.8044466427629087</v>
      </c>
      <c r="G91">
        <f t="shared" si="12"/>
        <v>7.484650540016502</v>
      </c>
      <c r="H91">
        <f t="shared" si="11"/>
        <v>7.2177865710516347</v>
      </c>
    </row>
    <row r="92" spans="1:8" x14ac:dyDescent="0.2">
      <c r="A92" t="s">
        <v>97</v>
      </c>
      <c r="B92" s="1">
        <v>5029242.4030520162</v>
      </c>
      <c r="C92">
        <v>1.7365070655219341</v>
      </c>
      <c r="D92" s="1">
        <v>4767549</v>
      </c>
      <c r="E92">
        <f t="shared" si="7"/>
        <v>7.7015472266713054</v>
      </c>
      <c r="F92">
        <f t="shared" si="10"/>
        <v>1.7216020848643769</v>
      </c>
      <c r="G92">
        <f t="shared" si="12"/>
        <v>7.1290593071914765</v>
      </c>
      <c r="H92">
        <f t="shared" si="11"/>
        <v>6.8864083394575077</v>
      </c>
    </row>
    <row r="93" spans="1:8" x14ac:dyDescent="0.2">
      <c r="A93" t="s">
        <v>98</v>
      </c>
      <c r="B93" s="1">
        <v>5101936.694027775</v>
      </c>
      <c r="C93">
        <v>1.4454322371028354</v>
      </c>
      <c r="D93" s="1">
        <v>5575902</v>
      </c>
      <c r="E93">
        <f t="shared" si="7"/>
        <v>7.129336739399081</v>
      </c>
      <c r="F93">
        <f t="shared" si="10"/>
        <v>1.4350854500277528</v>
      </c>
      <c r="G93">
        <f t="shared" si="12"/>
        <v>5.9082977364022238</v>
      </c>
      <c r="H93">
        <f t="shared" si="11"/>
        <v>5.7403418001110111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D92A-3AFA-1D4F-A516-9359F1E43473}">
  <dimension ref="A1:G8"/>
  <sheetViews>
    <sheetView workbookViewId="0">
      <selection activeCell="B6" sqref="B6"/>
    </sheetView>
  </sheetViews>
  <sheetFormatPr baseColWidth="10" defaultRowHeight="16" x14ac:dyDescent="0.2"/>
  <cols>
    <col min="2" max="2" width="45.83203125" bestFit="1" customWidth="1"/>
    <col min="3" max="3" width="21.1640625" bestFit="1" customWidth="1"/>
    <col min="5" max="5" width="22.1640625" bestFit="1" customWidth="1"/>
  </cols>
  <sheetData>
    <row r="1" spans="1:7" x14ac:dyDescent="0.2">
      <c r="B1" t="s">
        <v>2</v>
      </c>
      <c r="C1" t="s">
        <v>3</v>
      </c>
      <c r="D1" t="s">
        <v>4</v>
      </c>
      <c r="E1" t="s">
        <v>5</v>
      </c>
      <c r="F1" t="s">
        <v>104</v>
      </c>
      <c r="G1" t="s">
        <v>105</v>
      </c>
    </row>
    <row r="2" spans="1:7" x14ac:dyDescent="0.2">
      <c r="B2" t="s">
        <v>112</v>
      </c>
      <c r="C2" t="s">
        <v>1</v>
      </c>
      <c r="D2" t="s">
        <v>6</v>
      </c>
      <c r="E2" t="s">
        <v>101</v>
      </c>
      <c r="F2">
        <v>41</v>
      </c>
      <c r="G2">
        <v>0</v>
      </c>
    </row>
    <row r="3" spans="1:7" x14ac:dyDescent="0.2">
      <c r="B3" t="s">
        <v>113</v>
      </c>
      <c r="C3" t="s">
        <v>109</v>
      </c>
      <c r="D3" t="s">
        <v>6</v>
      </c>
      <c r="E3" t="s">
        <v>103</v>
      </c>
      <c r="F3">
        <v>41</v>
      </c>
      <c r="G3">
        <v>0</v>
      </c>
    </row>
    <row r="4" spans="1:7" x14ac:dyDescent="0.2">
      <c r="A4" t="s">
        <v>102</v>
      </c>
      <c r="B4" t="s">
        <v>111</v>
      </c>
      <c r="C4" t="s">
        <v>99</v>
      </c>
      <c r="D4" t="s">
        <v>6</v>
      </c>
      <c r="E4" s="2" t="s">
        <v>101</v>
      </c>
      <c r="F4">
        <v>41</v>
      </c>
      <c r="G4">
        <v>0</v>
      </c>
    </row>
    <row r="5" spans="1:7" x14ac:dyDescent="0.2">
      <c r="A5" t="s">
        <v>106</v>
      </c>
      <c r="B5" t="s">
        <v>117</v>
      </c>
      <c r="C5" t="s">
        <v>100</v>
      </c>
      <c r="D5" t="s">
        <v>6</v>
      </c>
      <c r="E5" t="s">
        <v>103</v>
      </c>
      <c r="F5">
        <v>41</v>
      </c>
      <c r="G5">
        <v>0</v>
      </c>
    </row>
    <row r="6" spans="1:7" x14ac:dyDescent="0.2">
      <c r="B6" t="s">
        <v>118</v>
      </c>
      <c r="C6" t="s">
        <v>110</v>
      </c>
      <c r="D6" t="s">
        <v>6</v>
      </c>
      <c r="E6" t="s">
        <v>116</v>
      </c>
      <c r="F6">
        <v>41</v>
      </c>
      <c r="G6">
        <v>0</v>
      </c>
    </row>
    <row r="7" spans="1:7" x14ac:dyDescent="0.2">
      <c r="B7" t="s">
        <v>118</v>
      </c>
      <c r="C7" t="s">
        <v>107</v>
      </c>
      <c r="D7" t="s">
        <v>6</v>
      </c>
      <c r="E7" t="s">
        <v>114</v>
      </c>
      <c r="F7">
        <v>41</v>
      </c>
      <c r="G7">
        <v>0</v>
      </c>
    </row>
    <row r="8" spans="1:7" x14ac:dyDescent="0.2">
      <c r="B8" t="s">
        <v>119</v>
      </c>
      <c r="C8" t="s">
        <v>108</v>
      </c>
      <c r="D8" t="s">
        <v>6</v>
      </c>
      <c r="E8" t="s">
        <v>115</v>
      </c>
      <c r="F8">
        <v>41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Tiu</dc:creator>
  <cp:lastModifiedBy>Benedict Tiu</cp:lastModifiedBy>
  <dcterms:created xsi:type="dcterms:W3CDTF">2025-06-20T09:17:36Z</dcterms:created>
  <dcterms:modified xsi:type="dcterms:W3CDTF">2025-06-22T06:53:42Z</dcterms:modified>
</cp:coreProperties>
</file>